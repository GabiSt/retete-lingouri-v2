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\\10.155.14.241\data\PUBLIC\TEHNIC\Comenzi 2025\Comenzi interne 800-999( Lingouri )\Cda 25840-Ti 834-3VAR 440-test\"/>
    </mc:Choice>
  </mc:AlternateContent>
  <xr:revisionPtr revIDLastSave="0" documentId="13_ncr:1_{80F5C67E-F3E9-428D-B03E-ADA1C091D6DF}" xr6:coauthVersionLast="47" xr6:coauthVersionMax="47" xr10:uidLastSave="{00000000-0000-0000-0000-000000000000}"/>
  <bookViews>
    <workbookView xWindow="-108" yWindow="-108" windowWidth="23256" windowHeight="12576" tabRatio="985" activeTab="2" xr2:uid="{00000000-000D-0000-FFFF-FFFF00000000}"/>
  </bookViews>
  <sheets>
    <sheet name="DateIntrare" sheetId="1" r:id="rId1"/>
    <sheet name="Bilant" sheetId="2" state="hidden" r:id="rId2"/>
    <sheet name="RetDozare" sheetId="3" r:id="rId3"/>
  </sheets>
  <definedNames>
    <definedName name="Al_max">DateIntrare!#REF!</definedName>
    <definedName name="Al_min">DateIntrare!#REF!</definedName>
    <definedName name="alalv1">DateIntrare!$I$47</definedName>
    <definedName name="alalv2">DateIntrare!$I$51</definedName>
    <definedName name="alalv3">DateIntrare!$I$55</definedName>
    <definedName name="astm">DateIntrare!$A$3</definedName>
    <definedName name="C_max">DateIntrare!#REF!</definedName>
    <definedName name="cerclient">DateIntrare!#REF!</definedName>
    <definedName name="comanda">DateIntrare!$H$3</definedName>
    <definedName name="concal1">DateIntrare!#REF!</definedName>
    <definedName name="concal2">DateIntrare!$I$67</definedName>
    <definedName name="concfe1">DateIntrare!$E$71</definedName>
    <definedName name="dozal">RetDozare!#REF!</definedName>
    <definedName name="dozfe">RetDozare!#REF!</definedName>
    <definedName name="dozo">RetDozare!#REF!</definedName>
    <definedName name="dozv">RetDozare!#REF!</definedName>
    <definedName name="Fe_max">DateIntrare!#REF!</definedName>
    <definedName name="Fe_min">DateIntrare!#REF!</definedName>
    <definedName name="feal1">DateIntrare!$E$63</definedName>
    <definedName name="feal2">DateIntrare!$E$67</definedName>
    <definedName name="fealv1">DateIntrare!$E$47</definedName>
    <definedName name="fealv2">DateIntrare!$E$51</definedName>
    <definedName name="fealv3">DateIntrare!$E$55</definedName>
    <definedName name="feti1">DateIntrare!$E$14</definedName>
    <definedName name="feti10">DateIntrare!#REF!</definedName>
    <definedName name="feti2">DateIntrare!$E$18</definedName>
    <definedName name="feti3">DateIntrare!$E$22</definedName>
    <definedName name="feti4">DateIntrare!$E$26</definedName>
    <definedName name="feti5">DateIntrare!$E$30</definedName>
    <definedName name="feti6">DateIntrare!#REF!</definedName>
    <definedName name="feti7">DateIntrare!$E$34</definedName>
    <definedName name="feti8">DateIntrare!$E$38</definedName>
    <definedName name="feti9">DateIntrare!$E$42</definedName>
    <definedName name="fetirest">NA()</definedName>
    <definedName name="H_max">DateIntrare!#REF!</definedName>
    <definedName name="lotal1">DateIntrare!$B$61</definedName>
    <definedName name="lotal2">DateIntrare!$B$65</definedName>
    <definedName name="lotalv1">DateIntrare!$B$45</definedName>
    <definedName name="lotalv2">DateIntrare!$B$49</definedName>
    <definedName name="lotalv3">DateIntrare!$B$53</definedName>
    <definedName name="lotfe1">DateIntrare!$B$69</definedName>
    <definedName name="lotrest">NA()</definedName>
    <definedName name="lotti1">DateIntrare!$B$12</definedName>
    <definedName name="lotti10">DateIntrare!#REF!</definedName>
    <definedName name="lotti2">DateIntrare!$B$16</definedName>
    <definedName name="lotti3">DateIntrare!$B$20</definedName>
    <definedName name="lotti4">DateIntrare!$B$24</definedName>
    <definedName name="lotti5">DateIntrare!$B$28</definedName>
    <definedName name="lotti6">DateIntrare!#REF!</definedName>
    <definedName name="lotti7">DateIntrare!$B$32</definedName>
    <definedName name="lotti8">DateIntrare!$B$36</definedName>
    <definedName name="lotti9">DateIntrare!$B$40</definedName>
    <definedName name="lottio2">DateIntrare!$B$73</definedName>
    <definedName name="N_max">DateIntrare!#REF!</definedName>
    <definedName name="nrpresbara">Bilant!$C$10</definedName>
    <definedName name="O_max">DateIntrare!#REF!</definedName>
    <definedName name="O_min">DateIntrare!#REF!</definedName>
    <definedName name="oxal1">DateIntrare!$D$63</definedName>
    <definedName name="oxal2">DateIntrare!$D$67</definedName>
    <definedName name="oxalv1">DateIntrare!$D$47</definedName>
    <definedName name="oxalv2">DateIntrare!$D$51</definedName>
    <definedName name="oxalv3">DateIntrare!$D$55</definedName>
    <definedName name="oxti1">DateIntrare!$D$14</definedName>
    <definedName name="oxti10">DateIntrare!#REF!</definedName>
    <definedName name="oxti2">DateIntrare!$D$18</definedName>
    <definedName name="oxti3">DateIntrare!$D$22</definedName>
    <definedName name="oxti4">DateIntrare!$D$26</definedName>
    <definedName name="oxti5">DateIntrare!$D$30</definedName>
    <definedName name="oxti6">DateIntrare!#REF!</definedName>
    <definedName name="oxti7">DateIntrare!$D$34</definedName>
    <definedName name="oxti8">DateIntrare!$D$38</definedName>
    <definedName name="oxti9">DateIntrare!$D$42</definedName>
    <definedName name="oxtio2">DateIntrare!$D$75</definedName>
    <definedName name="oxtirest">NA()</definedName>
    <definedName name="_xlnm.Print_Area" localSheetId="0">DateIntrare!$A$1:$P$95</definedName>
    <definedName name="Tinta">DateIntrare!#REF!</definedName>
    <definedName name="tintaAl">DateIntrare!#REF!</definedName>
    <definedName name="tintaFe">DateIntrare!#REF!</definedName>
    <definedName name="tintaO">DateIntrare!#REF!</definedName>
    <definedName name="tintaV">DateIntrare!#REF!</definedName>
    <definedName name="V_max">DateIntrare!#REF!</definedName>
    <definedName name="V_min">DateIntrare!#REF!</definedName>
    <definedName name="valv1">DateIntrare!$H$47</definedName>
    <definedName name="valv2">DateIntrare!$H$51</definedName>
    <definedName name="valv3">DateIntrare!$H$55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" i="3" l="1"/>
  <c r="L92" i="1"/>
  <c r="L93" i="1"/>
  <c r="L87" i="1"/>
  <c r="L86" i="1" s="1"/>
  <c r="L83" i="1"/>
  <c r="L82" i="1" s="1"/>
  <c r="L79" i="1"/>
  <c r="L63" i="1"/>
  <c r="L58" i="1"/>
  <c r="L57" i="1" s="1"/>
  <c r="L47" i="1"/>
  <c r="J33" i="3"/>
  <c r="I33" i="3"/>
  <c r="H33" i="3"/>
  <c r="G33" i="3"/>
  <c r="F33" i="3"/>
  <c r="E33" i="3"/>
  <c r="D33" i="3"/>
  <c r="C33" i="3"/>
  <c r="B33" i="3"/>
  <c r="H32" i="3"/>
  <c r="D32" i="3"/>
  <c r="C32" i="3"/>
  <c r="B32" i="3"/>
  <c r="B29" i="3"/>
  <c r="J27" i="3"/>
  <c r="J28" i="3" s="1"/>
  <c r="J29" i="3" s="1"/>
  <c r="K24" i="3"/>
  <c r="K27" i="3" s="1"/>
  <c r="K28" i="3" s="1"/>
  <c r="K29" i="3" s="1"/>
  <c r="I24" i="3"/>
  <c r="H24" i="3"/>
  <c r="H27" i="3" s="1"/>
  <c r="H28" i="3" s="1"/>
  <c r="H29" i="3" s="1"/>
  <c r="G24" i="3"/>
  <c r="G27" i="3" s="1"/>
  <c r="G28" i="3" s="1"/>
  <c r="G29" i="3" s="1"/>
  <c r="F24" i="3"/>
  <c r="F27" i="3" s="1"/>
  <c r="F28" i="3" s="1"/>
  <c r="F29" i="3" s="1"/>
  <c r="G34" i="3" s="1"/>
  <c r="E24" i="3"/>
  <c r="D24" i="3"/>
  <c r="D27" i="3" s="1"/>
  <c r="K93" i="1"/>
  <c r="J47" i="1"/>
  <c r="I47" i="1"/>
  <c r="D47" i="1"/>
  <c r="F87" i="1"/>
  <c r="E87" i="1"/>
  <c r="D87" i="1"/>
  <c r="E34" i="3" l="1"/>
  <c r="D28" i="3"/>
  <c r="D29" i="3" s="1"/>
  <c r="C34" i="3" s="1"/>
  <c r="I34" i="3"/>
  <c r="F34" i="3"/>
  <c r="J34" i="3"/>
  <c r="E27" i="3"/>
  <c r="E28" i="3" s="1"/>
  <c r="E29" i="3" s="1"/>
  <c r="D34" i="3" s="1"/>
  <c r="C27" i="3" l="1"/>
  <c r="C28" i="3" l="1"/>
  <c r="C29" i="3" s="1"/>
  <c r="B34" i="3" s="1"/>
  <c r="L14" i="1" s="1"/>
  <c r="L13" i="1" s="1"/>
  <c r="G83" i="1" l="1"/>
  <c r="H79" i="1"/>
  <c r="L78" i="1"/>
  <c r="K47" i="1"/>
  <c r="I63" i="1"/>
  <c r="K49" i="2" l="1"/>
  <c r="C47" i="2" l="1"/>
  <c r="C25" i="2" l="1"/>
  <c r="C5" i="2" l="1"/>
  <c r="D5" i="2"/>
  <c r="E5" i="2"/>
  <c r="F5" i="2"/>
  <c r="G5" i="2"/>
  <c r="H5" i="2"/>
  <c r="I5" i="2"/>
  <c r="J5" i="2"/>
  <c r="K5" i="2"/>
  <c r="H6" i="2"/>
  <c r="I6" i="2"/>
  <c r="J6" i="2"/>
  <c r="K6" i="2"/>
  <c r="B6" i="2"/>
  <c r="B5" i="2"/>
  <c r="D14" i="1"/>
  <c r="H10" i="3" s="1"/>
  <c r="I27" i="3" s="1"/>
  <c r="I28" i="3" s="1"/>
  <c r="I29" i="3" s="1"/>
  <c r="H34" i="3" s="1"/>
  <c r="L75" i="1" s="1"/>
  <c r="C54" i="2"/>
  <c r="C61" i="2" s="1"/>
  <c r="G42" i="1"/>
  <c r="F42" i="1"/>
  <c r="E42" i="1"/>
  <c r="D42" i="1"/>
  <c r="G38" i="1"/>
  <c r="F38" i="1"/>
  <c r="E38" i="1"/>
  <c r="D38" i="1"/>
  <c r="E34" i="1"/>
  <c r="D34" i="1"/>
  <c r="I51" i="1"/>
  <c r="H51" i="1"/>
  <c r="E51" i="1"/>
  <c r="D51" i="1"/>
  <c r="D14" i="2"/>
  <c r="A3" i="2"/>
  <c r="H3" i="2"/>
  <c r="C15" i="2"/>
  <c r="D17" i="2"/>
  <c r="H49" i="2" s="1"/>
  <c r="H56" i="2" s="1"/>
  <c r="H63" i="2" s="1"/>
  <c r="C18" i="2"/>
  <c r="I18" i="2"/>
  <c r="C22" i="2"/>
  <c r="D22" i="2" s="1"/>
  <c r="C28" i="2" s="1"/>
  <c r="I28" i="2"/>
  <c r="C32" i="2"/>
  <c r="C35" i="2"/>
  <c r="D35" i="2" s="1"/>
  <c r="D41" i="2" s="1"/>
  <c r="D43" i="2" s="1"/>
  <c r="F43" i="2" s="1"/>
  <c r="D46" i="2" s="1"/>
  <c r="D53" i="2" s="1"/>
  <c r="D60" i="2" s="1"/>
  <c r="D55" i="1"/>
  <c r="E55" i="1"/>
  <c r="H55" i="1"/>
  <c r="I55" i="1"/>
  <c r="E67" i="1"/>
  <c r="I67" i="1"/>
  <c r="D71" i="1"/>
  <c r="E71" i="1"/>
  <c r="H71" i="1"/>
  <c r="I71" i="1"/>
  <c r="D75" i="1"/>
  <c r="L50" i="1"/>
  <c r="D13" i="2" l="1"/>
  <c r="C19" i="2" s="1"/>
  <c r="K19" i="2"/>
  <c r="D38" i="2"/>
  <c r="D40" i="2" s="1"/>
  <c r="F40" i="2" s="1"/>
  <c r="D45" i="2" s="1"/>
  <c r="D52" i="2" s="1"/>
  <c r="D59" i="2" s="1"/>
  <c r="C49" i="2"/>
  <c r="C56" i="2" s="1"/>
  <c r="C63" i="2" s="1"/>
  <c r="G37" i="2"/>
  <c r="C16" i="2"/>
  <c r="D16" i="2" s="1"/>
  <c r="C20" i="2" s="1"/>
  <c r="D20" i="2" s="1"/>
  <c r="C24" i="2" s="1"/>
  <c r="K20" i="2"/>
  <c r="K17" i="2"/>
  <c r="I20" i="2" l="1"/>
  <c r="D19" i="2"/>
  <c r="I19" i="2" s="1"/>
  <c r="C23" i="2" l="1"/>
  <c r="D23" i="2" s="1"/>
  <c r="C29" i="2" s="1"/>
  <c r="D24" i="2" l="1"/>
  <c r="G24" i="2" s="1"/>
  <c r="C26" i="2" l="1"/>
  <c r="D26" i="2" s="1"/>
  <c r="C30" i="2" s="1"/>
  <c r="D30" i="2" s="1"/>
  <c r="L46" i="1" l="1"/>
  <c r="C34" i="2"/>
  <c r="D29" i="2"/>
  <c r="I29" i="2" s="1"/>
  <c r="I30" i="2"/>
  <c r="C33" i="2" l="1"/>
  <c r="D33" i="2" s="1"/>
  <c r="C36" i="2" s="1"/>
  <c r="D36" i="2" s="1"/>
  <c r="D37" i="2" s="1"/>
  <c r="D44" i="2" s="1"/>
  <c r="D51" i="2" s="1"/>
  <c r="D58" i="2" s="1"/>
  <c r="L62" i="1" l="1"/>
  <c r="D34" i="2"/>
  <c r="C37" i="2" s="1"/>
  <c r="F34" i="2" l="1"/>
  <c r="D47" i="2" s="1"/>
  <c r="D54" i="2" s="1"/>
  <c r="D61" i="2" s="1"/>
  <c r="G34" i="2"/>
  <c r="D49" i="2" s="1"/>
  <c r="D56" i="2" s="1"/>
  <c r="D63" i="2" s="1"/>
  <c r="L74" i="1" l="1"/>
  <c r="K18" i="2"/>
  <c r="C45" i="2" s="1"/>
  <c r="C46" i="2" s="1"/>
  <c r="C53" i="2" s="1"/>
  <c r="C52" i="2" l="1"/>
  <c r="C44" i="2"/>
  <c r="C51" i="2" s="1"/>
</calcChain>
</file>

<file path=xl/sharedStrings.xml><?xml version="1.0" encoding="utf-8"?>
<sst xmlns="http://schemas.openxmlformats.org/spreadsheetml/2006/main" count="364" uniqueCount="134">
  <si>
    <t>Comanda</t>
  </si>
  <si>
    <t>O min</t>
  </si>
  <si>
    <t>O max</t>
  </si>
  <si>
    <t>Fe max</t>
  </si>
  <si>
    <t>N max</t>
  </si>
  <si>
    <t>C max</t>
  </si>
  <si>
    <t>H max</t>
  </si>
  <si>
    <t>Al min</t>
  </si>
  <si>
    <t>Al max</t>
  </si>
  <si>
    <t>V min</t>
  </si>
  <si>
    <t>V max</t>
  </si>
  <si>
    <t>LOT</t>
  </si>
  <si>
    <t>O</t>
  </si>
  <si>
    <t>Fe</t>
  </si>
  <si>
    <t>C</t>
  </si>
  <si>
    <t>V</t>
  </si>
  <si>
    <t>Al</t>
  </si>
  <si>
    <t>[Kg]</t>
  </si>
  <si>
    <t>Ti Burete</t>
  </si>
  <si>
    <t>CC</t>
  </si>
  <si>
    <t>TG100</t>
  </si>
  <si>
    <t>BA</t>
  </si>
  <si>
    <t>consum</t>
  </si>
  <si>
    <t>-30+10</t>
  </si>
  <si>
    <t>media</t>
  </si>
  <si>
    <t>rest</t>
  </si>
  <si>
    <t>Aliaj AlV</t>
  </si>
  <si>
    <t>Al metal</t>
  </si>
  <si>
    <t>Fe metal</t>
  </si>
  <si>
    <t>1079665</t>
  </si>
  <si>
    <t>TiO2</t>
  </si>
  <si>
    <t>kronos</t>
  </si>
  <si>
    <t>Bilant teoretic</t>
  </si>
  <si>
    <t>Intrare</t>
  </si>
  <si>
    <t>Iesire</t>
  </si>
  <si>
    <t>Titan R</t>
  </si>
  <si>
    <t>Deseu</t>
  </si>
  <si>
    <t>Pierd</t>
  </si>
  <si>
    <t>Conc.in bara</t>
  </si>
  <si>
    <t>Pres</t>
  </si>
  <si>
    <t>P [nr]</t>
  </si>
  <si>
    <t>[Kg/portie]</t>
  </si>
  <si>
    <t>D[mm]</t>
  </si>
  <si>
    <t>L[mm]</t>
  </si>
  <si>
    <t>Sudura I</t>
  </si>
  <si>
    <t>[buc./semib.]</t>
  </si>
  <si>
    <t>Prealiaj AlV</t>
  </si>
  <si>
    <t>lot</t>
  </si>
  <si>
    <t>Top I</t>
  </si>
  <si>
    <t>Lingou LI</t>
  </si>
  <si>
    <t>Amrs</t>
  </si>
  <si>
    <t>Stub</t>
  </si>
  <si>
    <t>Strnj I</t>
  </si>
  <si>
    <t>Sp. I</t>
  </si>
  <si>
    <t>Sudura II</t>
  </si>
  <si>
    <t>Top II</t>
  </si>
  <si>
    <t>Lingou LII</t>
  </si>
  <si>
    <t>Strnj II</t>
  </si>
  <si>
    <t>Sp. R, I</t>
  </si>
  <si>
    <t>Debit II</t>
  </si>
  <si>
    <t>Sp.I</t>
  </si>
  <si>
    <t>Cap</t>
  </si>
  <si>
    <t>Cap R</t>
  </si>
  <si>
    <t>Picior II R</t>
  </si>
  <si>
    <t>Pic. II R</t>
  </si>
  <si>
    <t>Mat. Int.</t>
  </si>
  <si>
    <t>Ti</t>
  </si>
  <si>
    <t xml:space="preserve"> Lingou</t>
  </si>
  <si>
    <t>40Al60V</t>
  </si>
  <si>
    <t xml:space="preserve"> Cap R</t>
  </si>
  <si>
    <t xml:space="preserve"> Pic. II R</t>
  </si>
  <si>
    <t xml:space="preserve"> Sp. R</t>
  </si>
  <si>
    <t>Amrs.</t>
  </si>
  <si>
    <t xml:space="preserve"> Pierd</t>
  </si>
  <si>
    <t>total</t>
  </si>
  <si>
    <t>Lingouri</t>
  </si>
  <si>
    <t>Nr.lingouri</t>
  </si>
  <si>
    <t xml:space="preserve"> </t>
  </si>
  <si>
    <t>TG90</t>
  </si>
  <si>
    <t>stc.in.</t>
  </si>
  <si>
    <t>Cant.</t>
  </si>
  <si>
    <t>Topit.</t>
  </si>
  <si>
    <t>ASTM 
B348-13</t>
  </si>
  <si>
    <t>Dozare</t>
  </si>
  <si>
    <t>GfE</t>
  </si>
  <si>
    <t>0031547</t>
  </si>
  <si>
    <t>lot 298905</t>
  </si>
  <si>
    <t xml:space="preserve">Tehnologie de prelucrare: presare d=350;  VAR1 d=500; </t>
  </si>
  <si>
    <t>Sn</t>
  </si>
  <si>
    <t xml:space="preserve">C </t>
  </si>
  <si>
    <t>25840</t>
  </si>
  <si>
    <t>Mo</t>
  </si>
  <si>
    <t>Zr</t>
  </si>
  <si>
    <t>Nb</t>
  </si>
  <si>
    <t xml:space="preserve">Si </t>
  </si>
  <si>
    <t>0.2-0.6%</t>
  </si>
  <si>
    <t>0.04-0.08</t>
  </si>
  <si>
    <t>Dozare in bara</t>
  </si>
  <si>
    <t>AlMo35/65</t>
  </si>
  <si>
    <t>310301</t>
  </si>
  <si>
    <t>Si</t>
  </si>
  <si>
    <t>Cantitate</t>
  </si>
  <si>
    <t>W65045619</t>
  </si>
  <si>
    <t xml:space="preserve"> Zirconiu 702</t>
  </si>
  <si>
    <t>Sn metalic</t>
  </si>
  <si>
    <t>lot MTX 20 1217</t>
  </si>
  <si>
    <t>S-24020009</t>
  </si>
  <si>
    <t>lot 319253</t>
  </si>
  <si>
    <r>
      <rPr>
        <sz val="11"/>
        <rFont val="Times New Roman"/>
        <family val="1"/>
      </rPr>
      <t xml:space="preserve">Prealiaj </t>
    </r>
    <r>
      <rPr>
        <b/>
        <sz val="11"/>
        <rFont val="Times New Roman"/>
        <family val="1"/>
      </rPr>
      <t>SiTi</t>
    </r>
    <r>
      <rPr>
        <sz val="11"/>
        <rFont val="Times New Roman"/>
        <family val="1"/>
      </rPr>
      <t xml:space="preserve"> </t>
    </r>
  </si>
  <si>
    <t>AlNb</t>
  </si>
  <si>
    <t>lot 73664</t>
  </si>
  <si>
    <t>Grafit pulb.</t>
  </si>
  <si>
    <t>Ti 834</t>
  </si>
  <si>
    <t>Reteta 1</t>
  </si>
  <si>
    <t>Materii prime - compozitie chimica [%]</t>
  </si>
  <si>
    <t>Lot</t>
  </si>
  <si>
    <t>Ti burete</t>
  </si>
  <si>
    <t>Al met.</t>
  </si>
  <si>
    <t>AlNb 40/60</t>
  </si>
  <si>
    <t>Sn met.</t>
  </si>
  <si>
    <t>TiSi</t>
  </si>
  <si>
    <t>40.84%</t>
  </si>
  <si>
    <t>LOT  0066804</t>
  </si>
  <si>
    <t>Zr 702</t>
  </si>
  <si>
    <t>Grafit pulb</t>
  </si>
  <si>
    <t>Concentratii prescrise in bara in bara [%]</t>
  </si>
  <si>
    <t>Element aliere</t>
  </si>
  <si>
    <t>Conc.</t>
  </si>
  <si>
    <t>Dozare in bara [Kg]</t>
  </si>
  <si>
    <t>AlMo</t>
  </si>
  <si>
    <t>Portie</t>
  </si>
  <si>
    <t>Nr.Prs.</t>
  </si>
  <si>
    <t>Bara</t>
  </si>
  <si>
    <t>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</si>
</sst>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164" formatCode="0.0000%"/>
    <numFmt numFmtId="165" formatCode="0.000%"/>
    <numFmt numFmtId="166" formatCode="0.000"/>
    <numFmt numFmtId="167" formatCode="#"/>
    <numFmt numFmtId="168" formatCode="0.0"/>
    <numFmt numFmtId="169" formatCode="[$$-409]#,##0.00;[Red]&quot;-&quot;[$$-409]#,##0.00"/>
    <numFmt numFmtId="170" formatCode="0.0%"/>
  </numFmts>
  <fonts count="42">
    <font>
      <sz val="10"/>
      <name val="Luxi Sans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i/>
      <sz val="8"/>
      <name val="Calibri"/>
      <family val="2"/>
      <scheme val="minor"/>
    </font>
    <font>
      <i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i/>
      <sz val="10"/>
      <name val="Calibri"/>
      <family val="2"/>
      <scheme val="minor"/>
    </font>
    <font>
      <sz val="11"/>
      <color rgb="FF002060"/>
      <name val="Calibri"/>
      <family val="2"/>
      <scheme val="minor"/>
    </font>
    <font>
      <sz val="14"/>
      <name val="Calibri  "/>
    </font>
    <font>
      <sz val="10"/>
      <name val="Calibri  "/>
    </font>
    <font>
      <i/>
      <sz val="10"/>
      <name val="Calibri  "/>
    </font>
    <font>
      <sz val="10"/>
      <color rgb="FF002060"/>
      <name val="Calibri  "/>
    </font>
    <font>
      <sz val="11"/>
      <name val="Arial"/>
      <family val="2"/>
    </font>
    <font>
      <sz val="11"/>
      <name val="Calibri  "/>
    </font>
    <font>
      <b/>
      <sz val="10"/>
      <color rgb="FF000000"/>
      <name val="Calibri"/>
      <family val="2"/>
    </font>
    <font>
      <sz val="10"/>
      <name val="Luxi Sans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3"/>
      <name val="Times New Roman"/>
      <family val="1"/>
    </font>
    <font>
      <sz val="12"/>
      <name val="Calibri  "/>
    </font>
    <font>
      <sz val="11"/>
      <color theme="1"/>
      <name val="Liberation Sans"/>
    </font>
    <font>
      <sz val="11"/>
      <color indexed="8"/>
      <name val="Calibri"/>
      <family val="2"/>
      <scheme val="minor"/>
    </font>
    <font>
      <sz val="9"/>
      <name val="Times New Roman"/>
      <family val="1"/>
    </font>
    <font>
      <i/>
      <sz val="10.5"/>
      <name val="Times New Roman"/>
      <family val="1"/>
    </font>
    <font>
      <sz val="10.5"/>
      <name val="Times New Roman"/>
      <family val="1"/>
    </font>
    <font>
      <b/>
      <sz val="10.5"/>
      <name val="Times New Roman"/>
      <family val="1"/>
    </font>
    <font>
      <b/>
      <sz val="11"/>
      <name val="Times New Roman"/>
      <family val="1"/>
    </font>
    <font>
      <sz val="10"/>
      <name val="Arial"/>
      <family val="2"/>
      <charset val="1"/>
    </font>
    <font>
      <sz val="11"/>
      <name val="Times New Roman"/>
      <family val="1"/>
    </font>
    <font>
      <b/>
      <i/>
      <sz val="16"/>
      <color theme="1"/>
      <name val="Liberation Sans"/>
    </font>
    <font>
      <b/>
      <i/>
      <u/>
      <sz val="11"/>
      <color theme="1"/>
      <name val="Liberation Sans"/>
    </font>
    <font>
      <b/>
      <sz val="12"/>
      <name val="Calibri"/>
      <family val="2"/>
      <scheme val="minor"/>
    </font>
    <font>
      <sz val="12"/>
      <color theme="1"/>
      <name val="Calibri  "/>
    </font>
    <font>
      <b/>
      <sz val="11"/>
      <color indexed="8"/>
      <name val="Calibri"/>
      <family val="2"/>
      <scheme val="minor"/>
    </font>
    <font>
      <b/>
      <sz val="11"/>
      <color theme="1"/>
      <name val="Liberation Sans"/>
    </font>
    <font>
      <b/>
      <sz val="18"/>
      <name val="Calibri"/>
      <family val="2"/>
      <scheme val="minor"/>
    </font>
    <font>
      <b/>
      <i/>
      <sz val="13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26"/>
      </patternFill>
    </fill>
    <fill>
      <patternFill patternType="solid">
        <fgColor indexed="11"/>
        <bgColor indexed="49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5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/>
      <bottom/>
      <diagonal/>
    </border>
    <border>
      <left style="hair">
        <color indexed="8"/>
      </left>
      <right style="hair">
        <color indexed="8"/>
      </right>
      <top/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/>
      <bottom style="thin">
        <color indexed="8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hair">
        <color indexed="8"/>
      </bottom>
      <diagonal/>
    </border>
    <border>
      <left style="thin">
        <color indexed="64"/>
      </left>
      <right style="hair">
        <color indexed="8"/>
      </right>
      <top style="thin">
        <color indexed="64"/>
      </top>
      <bottom style="thin">
        <color indexed="64"/>
      </bottom>
      <diagonal/>
    </border>
    <border>
      <left style="hair">
        <color indexed="8"/>
      </left>
      <right style="hair">
        <color indexed="8"/>
      </right>
      <top style="thin">
        <color indexed="64"/>
      </top>
      <bottom style="thin">
        <color indexed="64"/>
      </bottom>
      <diagonal/>
    </border>
    <border>
      <left style="hair">
        <color indexed="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8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hair">
        <color indexed="8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8"/>
      </right>
      <top style="medium">
        <color indexed="64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9">
    <xf numFmtId="0" fontId="0" fillId="0" borderId="0"/>
    <xf numFmtId="0" fontId="22" fillId="0" borderId="0"/>
    <xf numFmtId="0" fontId="25" fillId="0" borderId="0"/>
    <xf numFmtId="44" fontId="19" fillId="0" borderId="0" applyFont="0" applyFill="0" applyBorder="0" applyAlignment="0" applyProtection="0"/>
    <xf numFmtId="0" fontId="22" fillId="0" borderId="0"/>
    <xf numFmtId="0" fontId="34" fillId="0" borderId="0">
      <alignment horizontal="center"/>
    </xf>
    <xf numFmtId="0" fontId="34" fillId="0" borderId="0">
      <alignment horizontal="center" textRotation="90"/>
    </xf>
    <xf numFmtId="44" fontId="19" fillId="0" borderId="0" applyFont="0" applyFill="0" applyBorder="0" applyAlignment="0" applyProtection="0"/>
    <xf numFmtId="0" fontId="22" fillId="0" borderId="0"/>
    <xf numFmtId="0" fontId="19" fillId="0" borderId="0"/>
    <xf numFmtId="0" fontId="22" fillId="0" borderId="0"/>
    <xf numFmtId="0" fontId="25" fillId="0" borderId="0"/>
    <xf numFmtId="0" fontId="22" fillId="0" borderId="0"/>
    <xf numFmtId="0" fontId="1" fillId="0" borderId="0"/>
    <xf numFmtId="0" fontId="1" fillId="0" borderId="0"/>
    <xf numFmtId="0" fontId="32" fillId="0" borderId="0"/>
    <xf numFmtId="0" fontId="35" fillId="0" borderId="0"/>
    <xf numFmtId="169" fontId="35" fillId="0" borderId="0"/>
    <xf numFmtId="0" fontId="22" fillId="0" borderId="0"/>
  </cellStyleXfs>
  <cellXfs count="290">
    <xf numFmtId="0" fontId="0" fillId="0" borderId="0" xfId="0"/>
    <xf numFmtId="0" fontId="2" fillId="0" borderId="0" xfId="0" applyFont="1"/>
    <xf numFmtId="0" fontId="3" fillId="0" borderId="7" xfId="0" applyFont="1" applyBorder="1" applyAlignment="1">
      <alignment horizontal="center"/>
    </xf>
    <xf numFmtId="1" fontId="2" fillId="0" borderId="0" xfId="0" applyNumberFormat="1" applyFont="1"/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" fontId="2" fillId="0" borderId="7" xfId="0" applyNumberFormat="1" applyFont="1" applyBorder="1"/>
    <xf numFmtId="0" fontId="4" fillId="0" borderId="0" xfId="0" applyFont="1"/>
    <xf numFmtId="1" fontId="4" fillId="0" borderId="0" xfId="0" applyNumberFormat="1" applyFont="1"/>
    <xf numFmtId="10" fontId="2" fillId="0" borderId="0" xfId="0" applyNumberFormat="1" applyFont="1" applyAlignment="1">
      <alignment horizontal="right"/>
    </xf>
    <xf numFmtId="10" fontId="4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 wrapText="1"/>
    </xf>
    <xf numFmtId="0" fontId="8" fillId="0" borderId="0" xfId="0" applyFont="1"/>
    <xf numFmtId="10" fontId="8" fillId="0" borderId="0" xfId="0" applyNumberFormat="1" applyFont="1"/>
    <xf numFmtId="49" fontId="9" fillId="0" borderId="0" xfId="0" applyNumberFormat="1" applyFont="1" applyAlignment="1">
      <alignment horizontal="center" wrapText="1"/>
    </xf>
    <xf numFmtId="10" fontId="9" fillId="0" borderId="1" xfId="0" applyNumberFormat="1" applyFont="1" applyBorder="1"/>
    <xf numFmtId="49" fontId="9" fillId="0" borderId="2" xfId="0" applyNumberFormat="1" applyFont="1" applyBorder="1" applyAlignment="1">
      <alignment horizontal="center" wrapText="1"/>
    </xf>
    <xf numFmtId="0" fontId="7" fillId="0" borderId="1" xfId="0" applyFont="1" applyBorder="1" applyAlignment="1">
      <alignment wrapText="1"/>
    </xf>
    <xf numFmtId="0" fontId="7" fillId="0" borderId="13" xfId="0" applyFont="1" applyBorder="1" applyAlignment="1">
      <alignment horizontal="center" wrapText="1"/>
    </xf>
    <xf numFmtId="0" fontId="7" fillId="0" borderId="1" xfId="0" applyFont="1" applyBorder="1" applyAlignment="1">
      <alignment horizontal="center" wrapText="1"/>
    </xf>
    <xf numFmtId="0" fontId="7" fillId="0" borderId="1" xfId="0" applyFont="1" applyBorder="1" applyAlignment="1">
      <alignment horizontal="center"/>
    </xf>
    <xf numFmtId="0" fontId="10" fillId="0" borderId="0" xfId="0" applyFont="1" applyAlignment="1">
      <alignment horizontal="center" vertical="center"/>
    </xf>
    <xf numFmtId="0" fontId="9" fillId="2" borderId="1" xfId="0" applyFont="1" applyFill="1" applyBorder="1"/>
    <xf numFmtId="0" fontId="8" fillId="0" borderId="1" xfId="0" applyFont="1" applyBorder="1"/>
    <xf numFmtId="0" fontId="8" fillId="0" borderId="4" xfId="0" applyFont="1" applyBorder="1"/>
    <xf numFmtId="0" fontId="9" fillId="0" borderId="1" xfId="0" applyFont="1" applyBorder="1"/>
    <xf numFmtId="166" fontId="8" fillId="0" borderId="1" xfId="0" applyNumberFormat="1" applyFont="1" applyBorder="1"/>
    <xf numFmtId="1" fontId="8" fillId="0" borderId="1" xfId="0" applyNumberFormat="1" applyFont="1" applyBorder="1"/>
    <xf numFmtId="1" fontId="8" fillId="2" borderId="1" xfId="0" applyNumberFormat="1" applyFont="1" applyFill="1" applyBorder="1"/>
    <xf numFmtId="166" fontId="8" fillId="0" borderId="1" xfId="0" applyNumberFormat="1" applyFont="1" applyBorder="1" applyAlignment="1">
      <alignment horizontal="center"/>
    </xf>
    <xf numFmtId="10" fontId="8" fillId="0" borderId="1" xfId="0" applyNumberFormat="1" applyFont="1" applyBorder="1" applyAlignment="1">
      <alignment horizontal="right"/>
    </xf>
    <xf numFmtId="166" fontId="8" fillId="2" borderId="1" xfId="0" applyNumberFormat="1" applyFont="1" applyFill="1" applyBorder="1"/>
    <xf numFmtId="166" fontId="9" fillId="3" borderId="1" xfId="0" applyNumberFormat="1" applyFont="1" applyFill="1" applyBorder="1"/>
    <xf numFmtId="167" fontId="8" fillId="0" borderId="1" xfId="0" applyNumberFormat="1" applyFont="1" applyBorder="1"/>
    <xf numFmtId="1" fontId="8" fillId="0" borderId="3" xfId="0" applyNumberFormat="1" applyFont="1" applyBorder="1" applyAlignment="1">
      <alignment horizontal="right"/>
    </xf>
    <xf numFmtId="1" fontId="8" fillId="0" borderId="7" xfId="0" applyNumberFormat="1" applyFont="1" applyBorder="1"/>
    <xf numFmtId="1" fontId="8" fillId="0" borderId="8" xfId="0" applyNumberFormat="1" applyFont="1" applyBorder="1"/>
    <xf numFmtId="1" fontId="8" fillId="0" borderId="4" xfId="0" applyNumberFormat="1" applyFont="1" applyBorder="1"/>
    <xf numFmtId="1" fontId="9" fillId="0" borderId="7" xfId="0" applyNumberFormat="1" applyFont="1" applyBorder="1" applyAlignment="1">
      <alignment horizontal="center"/>
    </xf>
    <xf numFmtId="0" fontId="8" fillId="0" borderId="8" xfId="0" applyFont="1" applyBorder="1"/>
    <xf numFmtId="1" fontId="8" fillId="0" borderId="5" xfId="0" applyNumberFormat="1" applyFont="1" applyBorder="1"/>
    <xf numFmtId="1" fontId="8" fillId="0" borderId="9" xfId="0" applyNumberFormat="1" applyFont="1" applyBorder="1"/>
    <xf numFmtId="0" fontId="3" fillId="0" borderId="0" xfId="0" applyFont="1" applyAlignment="1">
      <alignment horizontal="center" vertical="center" wrapText="1"/>
    </xf>
    <xf numFmtId="10" fontId="2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10" fontId="4" fillId="0" borderId="0" xfId="0" applyNumberFormat="1" applyFont="1" applyAlignment="1">
      <alignment horizontal="right"/>
    </xf>
    <xf numFmtId="49" fontId="5" fillId="0" borderId="7" xfId="0" applyNumberFormat="1" applyFont="1" applyBorder="1" applyAlignment="1">
      <alignment horizontal="center"/>
    </xf>
    <xf numFmtId="0" fontId="3" fillId="0" borderId="7" xfId="0" applyFont="1" applyBorder="1"/>
    <xf numFmtId="0" fontId="5" fillId="0" borderId="0" xfId="0" applyFont="1" applyAlignment="1">
      <alignment horizontal="center"/>
    </xf>
    <xf numFmtId="0" fontId="2" fillId="0" borderId="7" xfId="0" applyFont="1" applyBorder="1"/>
    <xf numFmtId="165" fontId="2" fillId="0" borderId="7" xfId="0" applyNumberFormat="1" applyFont="1" applyBorder="1"/>
    <xf numFmtId="10" fontId="2" fillId="0" borderId="7" xfId="0" applyNumberFormat="1" applyFont="1" applyBorder="1"/>
    <xf numFmtId="49" fontId="3" fillId="0" borderId="15" xfId="0" applyNumberFormat="1" applyFont="1" applyBorder="1" applyAlignment="1">
      <alignment horizontal="center"/>
    </xf>
    <xf numFmtId="0" fontId="2" fillId="0" borderId="14" xfId="0" applyFont="1" applyBorder="1"/>
    <xf numFmtId="165" fontId="2" fillId="0" borderId="14" xfId="0" applyNumberFormat="1" applyFont="1" applyBorder="1"/>
    <xf numFmtId="1" fontId="2" fillId="0" borderId="14" xfId="0" applyNumberFormat="1" applyFont="1" applyBorder="1"/>
    <xf numFmtId="49" fontId="3" fillId="0" borderId="7" xfId="0" applyNumberFormat="1" applyFont="1" applyBorder="1" applyAlignment="1">
      <alignment horizontal="center"/>
    </xf>
    <xf numFmtId="49" fontId="3" fillId="0" borderId="0" xfId="0" applyNumberFormat="1" applyFont="1" applyAlignment="1">
      <alignment horizontal="center"/>
    </xf>
    <xf numFmtId="165" fontId="2" fillId="0" borderId="0" xfId="0" applyNumberFormat="1" applyFont="1"/>
    <xf numFmtId="49" fontId="3" fillId="0" borderId="1" xfId="0" applyNumberFormat="1" applyFont="1" applyBorder="1" applyAlignment="1">
      <alignment horizontal="center"/>
    </xf>
    <xf numFmtId="49" fontId="3" fillId="0" borderId="0" xfId="0" applyNumberFormat="1" applyFont="1" applyAlignment="1">
      <alignment horizontal="center" vertical="center"/>
    </xf>
    <xf numFmtId="10" fontId="2" fillId="0" borderId="0" xfId="0" applyNumberFormat="1" applyFont="1"/>
    <xf numFmtId="165" fontId="2" fillId="0" borderId="1" xfId="0" applyNumberFormat="1" applyFont="1" applyBorder="1"/>
    <xf numFmtId="49" fontId="3" fillId="0" borderId="7" xfId="0" applyNumberFormat="1" applyFont="1" applyBorder="1"/>
    <xf numFmtId="49" fontId="2" fillId="0" borderId="7" xfId="0" applyNumberFormat="1" applyFont="1" applyBorder="1" applyAlignment="1">
      <alignment horizontal="center"/>
    </xf>
    <xf numFmtId="1" fontId="11" fillId="0" borderId="7" xfId="0" applyNumberFormat="1" applyFont="1" applyBorder="1"/>
    <xf numFmtId="49" fontId="2" fillId="0" borderId="0" xfId="0" applyNumberFormat="1" applyFont="1"/>
    <xf numFmtId="166" fontId="8" fillId="4" borderId="1" xfId="0" applyNumberFormat="1" applyFont="1" applyFill="1" applyBorder="1"/>
    <xf numFmtId="0" fontId="6" fillId="0" borderId="7" xfId="0" applyFont="1" applyBorder="1" applyAlignment="1">
      <alignment horizontal="center" wrapText="1"/>
    </xf>
    <xf numFmtId="165" fontId="8" fillId="0" borderId="7" xfId="0" applyNumberFormat="1" applyFont="1" applyBorder="1" applyAlignment="1">
      <alignment horizontal="right" wrapText="1"/>
    </xf>
    <xf numFmtId="165" fontId="9" fillId="0" borderId="7" xfId="0" applyNumberFormat="1" applyFont="1" applyBorder="1" applyAlignment="1">
      <alignment horizontal="right" wrapText="1"/>
    </xf>
    <xf numFmtId="166" fontId="8" fillId="0" borderId="8" xfId="0" applyNumberFormat="1" applyFont="1" applyBorder="1"/>
    <xf numFmtId="166" fontId="8" fillId="0" borderId="9" xfId="0" applyNumberFormat="1" applyFont="1" applyBorder="1"/>
    <xf numFmtId="0" fontId="8" fillId="0" borderId="7" xfId="0" applyFont="1" applyBorder="1"/>
    <xf numFmtId="167" fontId="8" fillId="0" borderId="4" xfId="0" applyNumberFormat="1" applyFont="1" applyBorder="1"/>
    <xf numFmtId="0" fontId="8" fillId="0" borderId="18" xfId="0" applyFont="1" applyBorder="1"/>
    <xf numFmtId="0" fontId="8" fillId="0" borderId="9" xfId="0" applyFont="1" applyBorder="1"/>
    <xf numFmtId="1" fontId="9" fillId="2" borderId="9" xfId="0" applyNumberFormat="1" applyFont="1" applyFill="1" applyBorder="1"/>
    <xf numFmtId="1" fontId="9" fillId="0" borderId="9" xfId="0" applyNumberFormat="1" applyFont="1" applyBorder="1"/>
    <xf numFmtId="1" fontId="8" fillId="0" borderId="19" xfId="0" applyNumberFormat="1" applyFont="1" applyBorder="1"/>
    <xf numFmtId="166" fontId="8" fillId="0" borderId="21" xfId="0" applyNumberFormat="1" applyFont="1" applyBorder="1"/>
    <xf numFmtId="167" fontId="8" fillId="0" borderId="22" xfId="0" applyNumberFormat="1" applyFont="1" applyBorder="1"/>
    <xf numFmtId="1" fontId="8" fillId="0" borderId="22" xfId="0" applyNumberFormat="1" applyFont="1" applyBorder="1"/>
    <xf numFmtId="0" fontId="8" fillId="0" borderId="22" xfId="0" applyFont="1" applyBorder="1"/>
    <xf numFmtId="1" fontId="8" fillId="0" borderId="23" xfId="0" applyNumberFormat="1" applyFont="1" applyBorder="1"/>
    <xf numFmtId="0" fontId="8" fillId="0" borderId="24" xfId="0" applyFont="1" applyBorder="1"/>
    <xf numFmtId="1" fontId="9" fillId="2" borderId="19" xfId="0" applyNumberFormat="1" applyFont="1" applyFill="1" applyBorder="1"/>
    <xf numFmtId="1" fontId="9" fillId="0" borderId="19" xfId="0" applyNumberFormat="1" applyFont="1" applyBorder="1"/>
    <xf numFmtId="0" fontId="8" fillId="0" borderId="20" xfId="0" applyFont="1" applyBorder="1"/>
    <xf numFmtId="1" fontId="8" fillId="0" borderId="21" xfId="0" applyNumberFormat="1" applyFont="1" applyBorder="1"/>
    <xf numFmtId="1" fontId="8" fillId="0" borderId="25" xfId="0" applyNumberFormat="1" applyFont="1" applyBorder="1"/>
    <xf numFmtId="1" fontId="8" fillId="0" borderId="26" xfId="0" applyNumberFormat="1" applyFont="1" applyBorder="1"/>
    <xf numFmtId="167" fontId="8" fillId="0" borderId="9" xfId="0" applyNumberFormat="1" applyFont="1" applyBorder="1"/>
    <xf numFmtId="166" fontId="8" fillId="0" borderId="27" xfId="0" applyNumberFormat="1" applyFont="1" applyBorder="1"/>
    <xf numFmtId="0" fontId="8" fillId="0" borderId="28" xfId="0" applyFont="1" applyBorder="1" applyAlignment="1">
      <alignment horizontal="center"/>
    </xf>
    <xf numFmtId="0" fontId="8" fillId="0" borderId="29" xfId="0" applyFont="1" applyBorder="1"/>
    <xf numFmtId="0" fontId="8" fillId="0" borderId="29" xfId="0" applyFont="1" applyBorder="1" applyAlignment="1">
      <alignment horizontal="center"/>
    </xf>
    <xf numFmtId="0" fontId="8" fillId="0" borderId="21" xfId="0" applyFont="1" applyBorder="1"/>
    <xf numFmtId="0" fontId="8" fillId="0" borderId="30" xfId="0" applyFont="1" applyBorder="1"/>
    <xf numFmtId="166" fontId="8" fillId="0" borderId="29" xfId="0" applyNumberFormat="1" applyFont="1" applyBorder="1"/>
    <xf numFmtId="166" fontId="8" fillId="0" borderId="22" xfId="0" applyNumberFormat="1" applyFont="1" applyBorder="1"/>
    <xf numFmtId="166" fontId="8" fillId="0" borderId="22" xfId="0" applyNumberFormat="1" applyFont="1" applyBorder="1" applyAlignment="1">
      <alignment horizontal="center"/>
    </xf>
    <xf numFmtId="0" fontId="8" fillId="0" borderId="31" xfId="0" applyFont="1" applyBorder="1"/>
    <xf numFmtId="49" fontId="5" fillId="0" borderId="7" xfId="0" quotePrefix="1" applyNumberFormat="1" applyFont="1" applyBorder="1" applyAlignment="1">
      <alignment horizontal="center"/>
    </xf>
    <xf numFmtId="10" fontId="8" fillId="0" borderId="1" xfId="0" applyNumberFormat="1" applyFont="1" applyBorder="1"/>
    <xf numFmtId="0" fontId="13" fillId="0" borderId="32" xfId="0" applyFont="1" applyBorder="1"/>
    <xf numFmtId="165" fontId="13" fillId="0" borderId="10" xfId="0" applyNumberFormat="1" applyFont="1" applyBorder="1"/>
    <xf numFmtId="49" fontId="14" fillId="0" borderId="12" xfId="0" applyNumberFormat="1" applyFont="1" applyBorder="1" applyAlignment="1">
      <alignment horizontal="center"/>
    </xf>
    <xf numFmtId="1" fontId="13" fillId="0" borderId="7" xfId="0" applyNumberFormat="1" applyFont="1" applyBorder="1"/>
    <xf numFmtId="1" fontId="15" fillId="0" borderId="7" xfId="0" applyNumberFormat="1" applyFont="1" applyBorder="1"/>
    <xf numFmtId="165" fontId="12" fillId="0" borderId="7" xfId="0" applyNumberFormat="1" applyFont="1" applyBorder="1"/>
    <xf numFmtId="0" fontId="13" fillId="0" borderId="7" xfId="0" applyFont="1" applyBorder="1"/>
    <xf numFmtId="0" fontId="14" fillId="0" borderId="33" xfId="0" applyFont="1" applyBorder="1" applyAlignment="1">
      <alignment horizontal="center"/>
    </xf>
    <xf numFmtId="0" fontId="7" fillId="0" borderId="34" xfId="0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8" fillId="0" borderId="38" xfId="0" applyFont="1" applyBorder="1"/>
    <xf numFmtId="0" fontId="8" fillId="0" borderId="34" xfId="0" applyFont="1" applyBorder="1"/>
    <xf numFmtId="166" fontId="8" fillId="0" borderId="38" xfId="0" applyNumberFormat="1" applyFont="1" applyBorder="1"/>
    <xf numFmtId="0" fontId="9" fillId="2" borderId="8" xfId="0" applyFont="1" applyFill="1" applyBorder="1"/>
    <xf numFmtId="0" fontId="9" fillId="4" borderId="8" xfId="0" applyFont="1" applyFill="1" applyBorder="1"/>
    <xf numFmtId="166" fontId="9" fillId="2" borderId="8" xfId="0" applyNumberFormat="1" applyFont="1" applyFill="1" applyBorder="1"/>
    <xf numFmtId="0" fontId="8" fillId="4" borderId="32" xfId="0" applyFont="1" applyFill="1" applyBorder="1"/>
    <xf numFmtId="166" fontId="8" fillId="0" borderId="39" xfId="0" applyNumberFormat="1" applyFont="1" applyBorder="1"/>
    <xf numFmtId="0" fontId="7" fillId="0" borderId="40" xfId="0" applyFont="1" applyBorder="1" applyAlignment="1">
      <alignment horizontal="center"/>
    </xf>
    <xf numFmtId="166" fontId="8" fillId="0" borderId="7" xfId="0" applyNumberFormat="1" applyFont="1" applyBorder="1"/>
    <xf numFmtId="0" fontId="8" fillId="0" borderId="41" xfId="0" applyFont="1" applyBorder="1"/>
    <xf numFmtId="167" fontId="8" fillId="0" borderId="30" xfId="0" applyNumberFormat="1" applyFont="1" applyBorder="1"/>
    <xf numFmtId="166" fontId="9" fillId="4" borderId="8" xfId="0" applyNumberFormat="1" applyFont="1" applyFill="1" applyBorder="1"/>
    <xf numFmtId="0" fontId="8" fillId="0" borderId="26" xfId="0" applyFont="1" applyBorder="1"/>
    <xf numFmtId="167" fontId="8" fillId="0" borderId="39" xfId="0" applyNumberFormat="1" applyFont="1" applyBorder="1"/>
    <xf numFmtId="167" fontId="8" fillId="0" borderId="8" xfId="0" applyNumberFormat="1" applyFont="1" applyBorder="1"/>
    <xf numFmtId="167" fontId="8" fillId="0" borderId="26" xfId="0" applyNumberFormat="1" applyFont="1" applyBorder="1"/>
    <xf numFmtId="0" fontId="8" fillId="0" borderId="7" xfId="0" applyFont="1" applyBorder="1" applyAlignment="1">
      <alignment horizontal="right"/>
    </xf>
    <xf numFmtId="167" fontId="8" fillId="0" borderId="42" xfId="0" applyNumberFormat="1" applyFont="1" applyBorder="1"/>
    <xf numFmtId="1" fontId="8" fillId="0" borderId="30" xfId="0" applyNumberFormat="1" applyFont="1" applyBorder="1"/>
    <xf numFmtId="1" fontId="8" fillId="0" borderId="41" xfId="0" applyNumberFormat="1" applyFont="1" applyBorder="1"/>
    <xf numFmtId="0" fontId="8" fillId="0" borderId="43" xfId="0" applyFont="1" applyBorder="1"/>
    <xf numFmtId="1" fontId="8" fillId="0" borderId="44" xfId="0" applyNumberFormat="1" applyFont="1" applyBorder="1"/>
    <xf numFmtId="1" fontId="8" fillId="0" borderId="7" xfId="0" applyNumberFormat="1" applyFont="1" applyBorder="1" applyAlignment="1">
      <alignment horizontal="right"/>
    </xf>
    <xf numFmtId="0" fontId="8" fillId="0" borderId="12" xfId="0" applyFont="1" applyBorder="1"/>
    <xf numFmtId="167" fontId="8" fillId="0" borderId="12" xfId="0" applyNumberFormat="1" applyFont="1" applyBorder="1" applyAlignment="1">
      <alignment horizontal="right"/>
    </xf>
    <xf numFmtId="0" fontId="8" fillId="0" borderId="25" xfId="0" applyFont="1" applyBorder="1"/>
    <xf numFmtId="0" fontId="8" fillId="0" borderId="25" xfId="0" applyFont="1" applyBorder="1" applyAlignment="1">
      <alignment horizontal="right"/>
    </xf>
    <xf numFmtId="1" fontId="8" fillId="0" borderId="25" xfId="0" applyNumberFormat="1" applyFont="1" applyBorder="1" applyAlignment="1">
      <alignment horizontal="right"/>
    </xf>
    <xf numFmtId="49" fontId="3" fillId="0" borderId="33" xfId="0" applyNumberFormat="1" applyFont="1" applyBorder="1" applyAlignment="1">
      <alignment horizontal="center"/>
    </xf>
    <xf numFmtId="1" fontId="8" fillId="0" borderId="45" xfId="0" applyNumberFormat="1" applyFont="1" applyBorder="1"/>
    <xf numFmtId="165" fontId="17" fillId="0" borderId="7" xfId="0" applyNumberFormat="1" applyFont="1" applyBorder="1"/>
    <xf numFmtId="166" fontId="8" fillId="0" borderId="49" xfId="0" applyNumberFormat="1" applyFont="1" applyBorder="1"/>
    <xf numFmtId="166" fontId="8" fillId="0" borderId="50" xfId="0" applyNumberFormat="1" applyFont="1" applyBorder="1"/>
    <xf numFmtId="165" fontId="8" fillId="0" borderId="1" xfId="0" applyNumberFormat="1" applyFont="1" applyBorder="1"/>
    <xf numFmtId="10" fontId="2" fillId="0" borderId="50" xfId="0" applyNumberFormat="1" applyFont="1" applyBorder="1" applyAlignment="1">
      <alignment horizontal="center"/>
    </xf>
    <xf numFmtId="49" fontId="4" fillId="0" borderId="51" xfId="0" applyNumberFormat="1" applyFont="1" applyBorder="1" applyAlignment="1">
      <alignment horizontal="center"/>
    </xf>
    <xf numFmtId="0" fontId="18" fillId="0" borderId="0" xfId="0" applyFont="1" applyAlignment="1">
      <alignment horizontal="center"/>
    </xf>
    <xf numFmtId="0" fontId="2" fillId="0" borderId="7" xfId="1" applyFont="1" applyBorder="1" applyAlignment="1">
      <alignment horizontal="center"/>
    </xf>
    <xf numFmtId="0" fontId="3" fillId="0" borderId="7" xfId="1" applyFont="1" applyBorder="1" applyAlignment="1">
      <alignment horizontal="center"/>
    </xf>
    <xf numFmtId="0" fontId="23" fillId="0" borderId="7" xfId="0" applyFont="1" applyBorder="1"/>
    <xf numFmtId="0" fontId="23" fillId="0" borderId="0" xfId="0" applyFont="1"/>
    <xf numFmtId="10" fontId="2" fillId="0" borderId="7" xfId="1" applyNumberFormat="1" applyFont="1" applyBorder="1"/>
    <xf numFmtId="165" fontId="2" fillId="0" borderId="7" xfId="1" applyNumberFormat="1" applyFont="1" applyBorder="1"/>
    <xf numFmtId="10" fontId="2" fillId="0" borderId="7" xfId="1" applyNumberFormat="1" applyFont="1" applyBorder="1" applyAlignment="1">
      <alignment horizontal="center"/>
    </xf>
    <xf numFmtId="10" fontId="4" fillId="0" borderId="7" xfId="1" applyNumberFormat="1" applyFont="1" applyBorder="1" applyAlignment="1">
      <alignment horizontal="center"/>
    </xf>
    <xf numFmtId="165" fontId="4" fillId="0" borderId="7" xfId="1" applyNumberFormat="1" applyFont="1" applyBorder="1" applyAlignment="1">
      <alignment horizontal="center"/>
    </xf>
    <xf numFmtId="10" fontId="4" fillId="0" borderId="7" xfId="1" applyNumberFormat="1" applyFont="1" applyBorder="1"/>
    <xf numFmtId="10" fontId="23" fillId="0" borderId="7" xfId="0" applyNumberFormat="1" applyFont="1" applyBorder="1"/>
    <xf numFmtId="1" fontId="24" fillId="0" borderId="7" xfId="0" applyNumberFormat="1" applyFont="1" applyBorder="1" applyAlignment="1">
      <alignment horizontal="center" vertical="center"/>
    </xf>
    <xf numFmtId="0" fontId="26" fillId="0" borderId="7" xfId="2" applyFont="1" applyBorder="1" applyAlignment="1">
      <alignment horizontal="left" vertical="center"/>
    </xf>
    <xf numFmtId="165" fontId="1" fillId="0" borderId="7" xfId="1" applyNumberFormat="1" applyFont="1" applyBorder="1"/>
    <xf numFmtId="0" fontId="5" fillId="0" borderId="7" xfId="1" applyFont="1" applyBorder="1" applyAlignment="1">
      <alignment horizontal="center"/>
    </xf>
    <xf numFmtId="0" fontId="27" fillId="0" borderId="0" xfId="0" applyFont="1"/>
    <xf numFmtId="0" fontId="28" fillId="0" borderId="7" xfId="0" applyFont="1" applyBorder="1" applyAlignment="1">
      <alignment horizontal="center" wrapText="1"/>
    </xf>
    <xf numFmtId="10" fontId="28" fillId="0" borderId="7" xfId="0" applyNumberFormat="1" applyFont="1" applyBorder="1" applyAlignment="1">
      <alignment horizontal="center"/>
    </xf>
    <xf numFmtId="0" fontId="24" fillId="0" borderId="7" xfId="0" applyFont="1" applyBorder="1"/>
    <xf numFmtId="0" fontId="27" fillId="0" borderId="7" xfId="0" applyFont="1" applyBorder="1"/>
    <xf numFmtId="170" fontId="5" fillId="0" borderId="7" xfId="1" applyNumberFormat="1" applyFont="1" applyBorder="1" applyAlignment="1">
      <alignment horizontal="center"/>
    </xf>
    <xf numFmtId="49" fontId="24" fillId="0" borderId="7" xfId="0" applyNumberFormat="1" applyFont="1" applyBorder="1"/>
    <xf numFmtId="10" fontId="24" fillId="0" borderId="7" xfId="0" applyNumberFormat="1" applyFont="1" applyBorder="1"/>
    <xf numFmtId="1" fontId="24" fillId="0" borderId="7" xfId="0" applyNumberFormat="1" applyFont="1" applyBorder="1"/>
    <xf numFmtId="10" fontId="27" fillId="0" borderId="7" xfId="0" applyNumberFormat="1" applyFont="1" applyBorder="1"/>
    <xf numFmtId="49" fontId="27" fillId="0" borderId="7" xfId="0" applyNumberFormat="1" applyFont="1" applyBorder="1"/>
    <xf numFmtId="0" fontId="2" fillId="0" borderId="0" xfId="1" applyFont="1"/>
    <xf numFmtId="0" fontId="5" fillId="0" borderId="7" xfId="2" applyFont="1" applyBorder="1" applyAlignment="1">
      <alignment horizontal="center"/>
    </xf>
    <xf numFmtId="165" fontId="24" fillId="0" borderId="7" xfId="0" applyNumberFormat="1" applyFont="1" applyBorder="1"/>
    <xf numFmtId="1" fontId="28" fillId="0" borderId="7" xfId="0" applyNumberFormat="1" applyFont="1" applyBorder="1" applyAlignment="1">
      <alignment horizontal="center"/>
    </xf>
    <xf numFmtId="168" fontId="24" fillId="0" borderId="7" xfId="0" applyNumberFormat="1" applyFont="1" applyBorder="1"/>
    <xf numFmtId="0" fontId="33" fillId="0" borderId="7" xfId="0" applyFont="1" applyBorder="1"/>
    <xf numFmtId="10" fontId="24" fillId="0" borderId="0" xfId="0" applyNumberFormat="1" applyFont="1"/>
    <xf numFmtId="49" fontId="24" fillId="0" borderId="7" xfId="0" applyNumberFormat="1" applyFont="1" applyBorder="1" applyAlignment="1">
      <alignment horizontal="center" vertical="center"/>
    </xf>
    <xf numFmtId="49" fontId="17" fillId="0" borderId="7" xfId="0" applyNumberFormat="1" applyFont="1" applyBorder="1" applyAlignment="1">
      <alignment horizontal="center" vertical="center"/>
    </xf>
    <xf numFmtId="49" fontId="24" fillId="0" borderId="14" xfId="0" applyNumberFormat="1" applyFont="1" applyBorder="1" applyAlignment="1">
      <alignment horizontal="center"/>
    </xf>
    <xf numFmtId="49" fontId="37" fillId="0" borderId="1" xfId="0" applyNumberFormat="1" applyFont="1" applyBorder="1" applyAlignment="1">
      <alignment horizontal="center" vertical="center"/>
    </xf>
    <xf numFmtId="49" fontId="16" fillId="0" borderId="14" xfId="0" applyNumberFormat="1" applyFont="1" applyBorder="1" applyAlignment="1">
      <alignment horizontal="center"/>
    </xf>
    <xf numFmtId="49" fontId="3" fillId="0" borderId="14" xfId="0" applyNumberFormat="1" applyFont="1" applyBorder="1" applyAlignment="1">
      <alignment horizontal="center"/>
    </xf>
    <xf numFmtId="49" fontId="3" fillId="0" borderId="12" xfId="0" applyNumberFormat="1" applyFont="1" applyBorder="1" applyAlignment="1">
      <alignment horizontal="center"/>
    </xf>
    <xf numFmtId="10" fontId="24" fillId="0" borderId="1" xfId="0" applyNumberFormat="1" applyFont="1" applyBorder="1"/>
    <xf numFmtId="10" fontId="24" fillId="0" borderId="10" xfId="0" applyNumberFormat="1" applyFont="1" applyBorder="1"/>
    <xf numFmtId="0" fontId="38" fillId="0" borderId="7" xfId="2" applyFont="1" applyBorder="1" applyAlignment="1">
      <alignment horizontal="left" vertical="center"/>
    </xf>
    <xf numFmtId="49" fontId="5" fillId="0" borderId="6" xfId="0" applyNumberFormat="1" applyFont="1" applyBorder="1" applyAlignment="1">
      <alignment horizontal="center"/>
    </xf>
    <xf numFmtId="49" fontId="2" fillId="0" borderId="14" xfId="0" applyNumberFormat="1" applyFont="1" applyBorder="1"/>
    <xf numFmtId="49" fontId="2" fillId="0" borderId="33" xfId="0" applyNumberFormat="1" applyFont="1" applyBorder="1"/>
    <xf numFmtId="49" fontId="2" fillId="0" borderId="12" xfId="0" applyNumberFormat="1" applyFont="1" applyBorder="1"/>
    <xf numFmtId="0" fontId="29" fillId="0" borderId="0" xfId="0" applyFont="1" applyAlignment="1">
      <alignment horizontal="center"/>
    </xf>
    <xf numFmtId="10" fontId="29" fillId="0" borderId="1" xfId="0" applyNumberFormat="1" applyFont="1" applyBorder="1" applyAlignment="1">
      <alignment horizontal="center"/>
    </xf>
    <xf numFmtId="49" fontId="30" fillId="0" borderId="53" xfId="0" applyNumberFormat="1" applyFont="1" applyBorder="1" applyAlignment="1">
      <alignment horizontal="center"/>
    </xf>
    <xf numFmtId="10" fontId="30" fillId="0" borderId="7" xfId="0" applyNumberFormat="1" applyFont="1" applyBorder="1" applyAlignment="1">
      <alignment horizontal="center"/>
    </xf>
    <xf numFmtId="0" fontId="25" fillId="0" borderId="0" xfId="2"/>
    <xf numFmtId="0" fontId="1" fillId="0" borderId="7" xfId="1" applyFont="1" applyBorder="1" applyAlignment="1">
      <alignment horizontal="center" vertical="center"/>
    </xf>
    <xf numFmtId="0" fontId="1" fillId="0" borderId="7" xfId="1" applyFont="1" applyBorder="1" applyAlignment="1">
      <alignment horizontal="center"/>
    </xf>
    <xf numFmtId="0" fontId="4" fillId="0" borderId="7" xfId="1" applyFont="1" applyBorder="1" applyAlignment="1">
      <alignment horizontal="center"/>
    </xf>
    <xf numFmtId="49" fontId="2" fillId="0" borderId="7" xfId="1" applyNumberFormat="1" applyFont="1" applyBorder="1" applyAlignment="1">
      <alignment horizontal="left"/>
    </xf>
    <xf numFmtId="1" fontId="1" fillId="0" borderId="7" xfId="2" applyNumberFormat="1" applyFont="1" applyBorder="1"/>
    <xf numFmtId="164" fontId="0" fillId="0" borderId="55" xfId="0" applyNumberFormat="1" applyBorder="1" applyAlignment="1">
      <alignment horizontal="right"/>
    </xf>
    <xf numFmtId="10" fontId="1" fillId="0" borderId="7" xfId="2" applyNumberFormat="1" applyFont="1" applyBorder="1"/>
    <xf numFmtId="165" fontId="20" fillId="0" borderId="7" xfId="1" applyNumberFormat="1" applyFont="1" applyBorder="1"/>
    <xf numFmtId="1" fontId="2" fillId="0" borderId="7" xfId="2" applyNumberFormat="1" applyFont="1" applyBorder="1"/>
    <xf numFmtId="49" fontId="20" fillId="0" borderId="7" xfId="1" applyNumberFormat="1" applyFont="1" applyBorder="1" applyAlignment="1">
      <alignment horizontal="left"/>
    </xf>
    <xf numFmtId="0" fontId="1" fillId="0" borderId="7" xfId="2" applyFont="1" applyBorder="1"/>
    <xf numFmtId="49" fontId="2" fillId="0" borderId="7" xfId="1" applyNumberFormat="1" applyFont="1" applyBorder="1" applyAlignment="1">
      <alignment horizontal="center"/>
    </xf>
    <xf numFmtId="49" fontId="2" fillId="0" borderId="7" xfId="1" applyNumberFormat="1" applyFont="1" applyBorder="1" applyAlignment="1">
      <alignment horizontal="right"/>
    </xf>
    <xf numFmtId="10" fontId="2" fillId="0" borderId="7" xfId="1" applyNumberFormat="1" applyFont="1" applyBorder="1" applyAlignment="1">
      <alignment horizontal="right"/>
    </xf>
    <xf numFmtId="1" fontId="1" fillId="0" borderId="7" xfId="1" applyNumberFormat="1" applyFont="1" applyBorder="1"/>
    <xf numFmtId="49" fontId="4" fillId="0" borderId="7" xfId="1" applyNumberFormat="1" applyFont="1" applyBorder="1" applyAlignment="1">
      <alignment horizontal="left"/>
    </xf>
    <xf numFmtId="1" fontId="21" fillId="0" borderId="7" xfId="1" quotePrefix="1" applyNumberFormat="1" applyFont="1" applyBorder="1" applyAlignment="1">
      <alignment horizontal="center"/>
    </xf>
    <xf numFmtId="165" fontId="23" fillId="0" borderId="7" xfId="0" applyNumberFormat="1" applyFont="1" applyBorder="1"/>
    <xf numFmtId="168" fontId="1" fillId="0" borderId="7" xfId="1" applyNumberFormat="1" applyFont="1" applyBorder="1"/>
    <xf numFmtId="49" fontId="2" fillId="0" borderId="0" xfId="1" applyNumberFormat="1" applyFont="1" applyAlignment="1">
      <alignment horizontal="left"/>
    </xf>
    <xf numFmtId="1" fontId="1" fillId="0" borderId="0" xfId="1" quotePrefix="1" applyNumberFormat="1" applyFont="1"/>
    <xf numFmtId="165" fontId="1" fillId="0" borderId="0" xfId="1" applyNumberFormat="1" applyFont="1"/>
    <xf numFmtId="1" fontId="1" fillId="0" borderId="0" xfId="1" applyNumberFormat="1" applyFont="1"/>
    <xf numFmtId="0" fontId="1" fillId="0" borderId="0" xfId="1" applyFont="1"/>
    <xf numFmtId="10" fontId="25" fillId="0" borderId="7" xfId="2" applyNumberFormat="1" applyBorder="1"/>
    <xf numFmtId="10" fontId="4" fillId="0" borderId="7" xfId="2" applyNumberFormat="1" applyFont="1" applyBorder="1"/>
    <xf numFmtId="165" fontId="4" fillId="0" borderId="7" xfId="1" applyNumberFormat="1" applyFont="1" applyBorder="1"/>
    <xf numFmtId="0" fontId="21" fillId="0" borderId="7" xfId="2" applyFont="1" applyBorder="1" applyAlignment="1">
      <alignment horizontal="center"/>
    </xf>
    <xf numFmtId="0" fontId="39" fillId="0" borderId="7" xfId="2" applyFont="1" applyBorder="1"/>
    <xf numFmtId="0" fontId="1" fillId="0" borderId="7" xfId="1" applyFont="1" applyBorder="1"/>
    <xf numFmtId="166" fontId="1" fillId="0" borderId="7" xfId="1" applyNumberFormat="1" applyFont="1" applyBorder="1" applyAlignment="1">
      <alignment horizontal="right"/>
    </xf>
    <xf numFmtId="166" fontId="2" fillId="0" borderId="7" xfId="1" applyNumberFormat="1" applyFont="1" applyBorder="1" applyAlignment="1">
      <alignment horizontal="right"/>
    </xf>
    <xf numFmtId="166" fontId="40" fillId="0" borderId="7" xfId="1" applyNumberFormat="1" applyFont="1" applyBorder="1" applyAlignment="1">
      <alignment horizontal="right"/>
    </xf>
    <xf numFmtId="0" fontId="4" fillId="0" borderId="52" xfId="1" applyFont="1" applyBorder="1"/>
    <xf numFmtId="0" fontId="2" fillId="0" borderId="7" xfId="1" applyFont="1" applyBorder="1"/>
    <xf numFmtId="166" fontId="2" fillId="0" borderId="7" xfId="1" applyNumberFormat="1" applyFont="1" applyBorder="1"/>
    <xf numFmtId="168" fontId="36" fillId="0" borderId="7" xfId="1" applyNumberFormat="1" applyFont="1" applyBorder="1" applyAlignment="1">
      <alignment horizontal="center"/>
    </xf>
    <xf numFmtId="166" fontId="40" fillId="0" borderId="0" xfId="1" applyNumberFormat="1" applyFont="1" applyAlignment="1">
      <alignment horizontal="right"/>
    </xf>
    <xf numFmtId="0" fontId="4" fillId="0" borderId="0" xfId="1" applyFont="1"/>
    <xf numFmtId="49" fontId="1" fillId="0" borderId="7" xfId="1" applyNumberFormat="1" applyFont="1" applyBorder="1" applyAlignment="1">
      <alignment horizontal="center"/>
    </xf>
    <xf numFmtId="1" fontId="2" fillId="0" borderId="7" xfId="1" applyNumberFormat="1" applyFont="1" applyBorder="1"/>
    <xf numFmtId="1" fontId="1" fillId="0" borderId="7" xfId="0" applyNumberFormat="1" applyFont="1" applyBorder="1"/>
    <xf numFmtId="2" fontId="1" fillId="0" borderId="7" xfId="1" applyNumberFormat="1" applyFont="1" applyBorder="1"/>
    <xf numFmtId="0" fontId="1" fillId="0" borderId="0" xfId="2" applyFont="1"/>
    <xf numFmtId="2" fontId="2" fillId="0" borderId="7" xfId="1" applyNumberFormat="1" applyFont="1" applyBorder="1"/>
    <xf numFmtId="2" fontId="13" fillId="0" borderId="7" xfId="0" applyNumberFormat="1" applyFont="1" applyBorder="1"/>
    <xf numFmtId="49" fontId="27" fillId="0" borderId="0" xfId="0" applyNumberFormat="1" applyFont="1"/>
    <xf numFmtId="168" fontId="24" fillId="0" borderId="0" xfId="0" applyNumberFormat="1" applyFont="1"/>
    <xf numFmtId="2" fontId="2" fillId="0" borderId="7" xfId="0" applyNumberFormat="1" applyFont="1" applyBorder="1"/>
    <xf numFmtId="165" fontId="1" fillId="0" borderId="7" xfId="1" applyNumberFormat="1" applyFont="1" applyBorder="1" applyAlignment="1">
      <alignment horizontal="center"/>
    </xf>
    <xf numFmtId="0" fontId="41" fillId="0" borderId="7" xfId="0" applyFont="1" applyBorder="1" applyAlignment="1">
      <alignment horizontal="center"/>
    </xf>
    <xf numFmtId="0" fontId="5" fillId="0" borderId="7" xfId="1" applyFont="1" applyBorder="1"/>
    <xf numFmtId="2" fontId="24" fillId="0" borderId="7" xfId="0" applyNumberFormat="1" applyFont="1" applyBorder="1"/>
    <xf numFmtId="0" fontId="18" fillId="0" borderId="46" xfId="0" applyFont="1" applyBorder="1" applyAlignment="1">
      <alignment horizontal="center"/>
    </xf>
    <xf numFmtId="0" fontId="18" fillId="0" borderId="48" xfId="0" applyFont="1" applyBorder="1" applyAlignment="1">
      <alignment horizontal="center"/>
    </xf>
    <xf numFmtId="0" fontId="18" fillId="0" borderId="47" xfId="0" applyFont="1" applyBorder="1" applyAlignment="1">
      <alignment horizontal="center"/>
    </xf>
    <xf numFmtId="0" fontId="2" fillId="0" borderId="7" xfId="1" applyFont="1" applyBorder="1" applyAlignment="1">
      <alignment horizontal="center"/>
    </xf>
    <xf numFmtId="0" fontId="3" fillId="5" borderId="7" xfId="1" applyFont="1" applyFill="1" applyBorder="1" applyAlignment="1">
      <alignment horizontal="center"/>
    </xf>
    <xf numFmtId="0" fontId="2" fillId="5" borderId="7" xfId="1" applyFont="1" applyFill="1" applyBorder="1" applyAlignment="1">
      <alignment horizontal="center"/>
    </xf>
    <xf numFmtId="0" fontId="3" fillId="0" borderId="7" xfId="1" applyFont="1" applyBorder="1" applyAlignment="1">
      <alignment horizontal="center"/>
    </xf>
    <xf numFmtId="0" fontId="3" fillId="5" borderId="11" xfId="1" applyFont="1" applyFill="1" applyBorder="1" applyAlignment="1">
      <alignment horizontal="center"/>
    </xf>
    <xf numFmtId="0" fontId="3" fillId="5" borderId="32" xfId="1" applyFont="1" applyFill="1" applyBorder="1" applyAlignment="1">
      <alignment horizontal="center"/>
    </xf>
    <xf numFmtId="0" fontId="2" fillId="0" borderId="7" xfId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7" fillId="0" borderId="1" xfId="0" applyFont="1" applyBorder="1" applyAlignment="1">
      <alignment horizontal="left" vertical="center" wrapText="1"/>
    </xf>
    <xf numFmtId="0" fontId="10" fillId="0" borderId="35" xfId="0" applyFont="1" applyBorder="1" applyAlignment="1">
      <alignment horizontal="center" vertical="center"/>
    </xf>
    <xf numFmtId="0" fontId="10" fillId="0" borderId="36" xfId="0" applyFont="1" applyBorder="1" applyAlignment="1">
      <alignment horizontal="center" vertical="center"/>
    </xf>
    <xf numFmtId="0" fontId="10" fillId="0" borderId="37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166" fontId="8" fillId="0" borderId="1" xfId="0" applyNumberFormat="1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9" fillId="0" borderId="17" xfId="0" applyFont="1" applyBorder="1" applyAlignment="1">
      <alignment horizontal="center"/>
    </xf>
    <xf numFmtId="0" fontId="28" fillId="0" borderId="1" xfId="0" applyFont="1" applyBorder="1" applyAlignment="1">
      <alignment horizontal="center" vertical="center" wrapText="1"/>
    </xf>
    <xf numFmtId="0" fontId="3" fillId="0" borderId="11" xfId="1" applyFont="1" applyBorder="1" applyAlignment="1">
      <alignment horizontal="center"/>
    </xf>
    <xf numFmtId="0" fontId="3" fillId="0" borderId="32" xfId="1" applyFont="1" applyBorder="1" applyAlignment="1">
      <alignment horizontal="center"/>
    </xf>
    <xf numFmtId="0" fontId="1" fillId="0" borderId="7" xfId="1" applyFont="1" applyBorder="1" applyAlignment="1">
      <alignment horizontal="center" vertical="center"/>
    </xf>
    <xf numFmtId="0" fontId="1" fillId="0" borderId="11" xfId="1" applyFont="1" applyBorder="1" applyAlignment="1">
      <alignment horizontal="center" vertical="center"/>
    </xf>
    <xf numFmtId="0" fontId="1" fillId="0" borderId="56" xfId="1" applyFont="1" applyBorder="1" applyAlignment="1">
      <alignment horizontal="center" vertical="center"/>
    </xf>
    <xf numFmtId="0" fontId="1" fillId="0" borderId="32" xfId="1" applyFont="1" applyBorder="1" applyAlignment="1">
      <alignment horizontal="center" vertical="center"/>
    </xf>
    <xf numFmtId="0" fontId="1" fillId="0" borderId="7" xfId="1" applyFont="1" applyBorder="1" applyAlignment="1">
      <alignment horizontal="center"/>
    </xf>
    <xf numFmtId="0" fontId="4" fillId="0" borderId="54" xfId="1" applyFont="1" applyBorder="1" applyAlignment="1">
      <alignment horizontal="center"/>
    </xf>
    <xf numFmtId="0" fontId="4" fillId="0" borderId="52" xfId="1" applyFont="1" applyBorder="1" applyAlignment="1">
      <alignment horizontal="center"/>
    </xf>
  </cellXfs>
  <cellStyles count="19">
    <cellStyle name="Currency 2" xfId="3" xr:uid="{60FB825D-1BEC-4F83-BD7E-C6CD69205E3F}"/>
    <cellStyle name="Excel Built-in Normal" xfId="4" xr:uid="{5EA6A1A9-EC8A-4D06-A014-528ED124C155}"/>
    <cellStyle name="Excel Built-in Normal 1" xfId="1" xr:uid="{6715B89A-14C9-4988-BB8A-18F12BAFE372}"/>
    <cellStyle name="Heading" xfId="5" xr:uid="{317B1E95-172E-4187-B25F-547C7BF361ED}"/>
    <cellStyle name="Heading1" xfId="6" xr:uid="{6088F9C4-4368-4FA1-A7C1-E2E3A7AB7423}"/>
    <cellStyle name="Monedă 2" xfId="7" xr:uid="{4D608A81-C31B-421E-8292-59D40C3AF3A7}"/>
    <cellStyle name="Normal" xfId="0" builtinId="0"/>
    <cellStyle name="Normal 2" xfId="2" xr:uid="{549B3EE4-9D27-4C38-84F7-BA9432A4821B}"/>
    <cellStyle name="Normal 2 2" xfId="8" xr:uid="{4B2F266C-78F5-4A0F-B169-88DE1B8C2F0E}"/>
    <cellStyle name="Normal 2 3" xfId="9" xr:uid="{217244DE-2948-47E2-93D2-6D96DB66F323}"/>
    <cellStyle name="Normal 2 4" xfId="10" xr:uid="{4AA2DDFB-800B-43CB-B510-E1642A610D21}"/>
    <cellStyle name="Normal 2 5" xfId="11" xr:uid="{C03F3C60-7DB1-4E5C-8D8F-C72AE9437933}"/>
    <cellStyle name="Normal 2 6" xfId="12" xr:uid="{17A0F00E-65DF-4A95-8DDC-BA1DFE391F18}"/>
    <cellStyle name="Normal 3" xfId="13" xr:uid="{9BEF354E-14BD-47E1-875E-22664777132F}"/>
    <cellStyle name="Normal 3 2" xfId="14" xr:uid="{78FEB477-48FE-4FF3-A60E-616421169390}"/>
    <cellStyle name="Normal 3 3" xfId="15" xr:uid="{B2F85478-8EA7-48F6-AB2E-EC859860A330}"/>
    <cellStyle name="Result" xfId="16" xr:uid="{88AA5A5F-7903-429B-9275-96C1CBD806DF}"/>
    <cellStyle name="Result2" xfId="17" xr:uid="{E048ECA7-6685-4EC7-AFC1-8A19D84A213C}"/>
    <cellStyle name="TableStyleLight1" xfId="18" xr:uid="{11EE3CC0-60BD-4CBC-9528-A33641AB6C7D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23FF2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D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DEB3D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75919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ă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3"/>
  <sheetViews>
    <sheetView zoomScaleNormal="100" zoomScalePageLayoutView="60" workbookViewId="0">
      <selection activeCell="O46" sqref="O46"/>
    </sheetView>
  </sheetViews>
  <sheetFormatPr defaultColWidth="10.109375" defaultRowHeight="14.4"/>
  <cols>
    <col min="1" max="1" width="10.6640625" style="1" customWidth="1"/>
    <col min="2" max="2" width="15.109375" style="68" customWidth="1"/>
    <col min="3" max="3" width="13.88671875" style="1" customWidth="1"/>
    <col min="4" max="4" width="9.6640625" style="1" customWidth="1"/>
    <col min="5" max="5" width="11.33203125" style="1" customWidth="1"/>
    <col min="6" max="6" width="11.109375" style="1" customWidth="1"/>
    <col min="7" max="7" width="12.88671875" style="1" customWidth="1"/>
    <col min="8" max="8" width="11.33203125" style="1" customWidth="1"/>
    <col min="9" max="9" width="11" style="63" customWidth="1"/>
    <col min="10" max="10" width="10.5546875" style="63" customWidth="1"/>
    <col min="11" max="11" width="11.109375" style="1" customWidth="1"/>
    <col min="12" max="12" width="11.88671875" style="1" customWidth="1"/>
    <col min="13" max="13" width="9.33203125" style="1" customWidth="1"/>
    <col min="14" max="14" width="7.88671875" style="1" customWidth="1"/>
    <col min="15" max="15" width="10.5546875" style="1" customWidth="1"/>
    <col min="16" max="16" width="11" style="1" customWidth="1"/>
    <col min="17" max="16384" width="10.109375" style="1"/>
  </cols>
  <sheetData>
    <row r="1" spans="1:16">
      <c r="A1" s="42"/>
      <c r="B1" s="42"/>
      <c r="C1" s="42"/>
      <c r="D1" s="42"/>
      <c r="E1" s="42"/>
      <c r="F1" s="5"/>
      <c r="G1" s="43"/>
      <c r="H1" s="44"/>
      <c r="I1" s="43"/>
      <c r="J1" s="43"/>
      <c r="K1" s="5"/>
      <c r="L1" s="5"/>
    </row>
    <row r="2" spans="1:16" ht="15" thickBot="1">
      <c r="A2" s="42"/>
      <c r="B2" s="42"/>
      <c r="C2" s="42"/>
      <c r="D2" s="42"/>
      <c r="E2" s="42"/>
      <c r="F2" s="5"/>
      <c r="G2" s="43"/>
      <c r="H2" s="44"/>
      <c r="I2" s="43"/>
      <c r="J2" s="43"/>
      <c r="K2" s="5"/>
      <c r="L2" s="5"/>
    </row>
    <row r="3" spans="1:16" ht="15" thickBot="1">
      <c r="A3" s="261"/>
      <c r="B3" s="262"/>
      <c r="C3" s="262"/>
      <c r="D3" s="262"/>
      <c r="E3" s="263"/>
      <c r="F3" s="5"/>
      <c r="G3" s="153" t="s">
        <v>0</v>
      </c>
      <c r="H3" s="154" t="s">
        <v>90</v>
      </c>
      <c r="I3" s="43"/>
      <c r="J3" s="43"/>
      <c r="K3" s="5"/>
      <c r="L3" s="5"/>
    </row>
    <row r="4" spans="1:16" s="159" customFormat="1" ht="14.85" customHeight="1">
      <c r="A4" s="264"/>
      <c r="B4" s="264"/>
      <c r="C4" s="265" t="s">
        <v>16</v>
      </c>
      <c r="D4" s="265"/>
      <c r="E4" s="265" t="s">
        <v>91</v>
      </c>
      <c r="F4" s="265"/>
      <c r="G4" s="266" t="s">
        <v>92</v>
      </c>
      <c r="H4" s="266"/>
      <c r="I4" s="265" t="s">
        <v>93</v>
      </c>
      <c r="J4" s="265"/>
      <c r="K4" s="267" t="s">
        <v>12</v>
      </c>
      <c r="L4" s="267"/>
      <c r="M4" s="268" t="s">
        <v>88</v>
      </c>
      <c r="N4" s="269"/>
      <c r="O4" s="157" t="s">
        <v>94</v>
      </c>
      <c r="P4" s="158" t="s">
        <v>14</v>
      </c>
    </row>
    <row r="5" spans="1:16" s="159" customFormat="1" ht="14.85" customHeight="1">
      <c r="A5" s="270"/>
      <c r="B5" s="270"/>
      <c r="C5" s="160">
        <v>5.5E-2</v>
      </c>
      <c r="D5" s="160">
        <v>6.0999999999999999E-2</v>
      </c>
      <c r="E5" s="160">
        <v>2.5000000000000001E-3</v>
      </c>
      <c r="F5" s="160">
        <v>7.4999999999999997E-3</v>
      </c>
      <c r="G5" s="160">
        <v>0.03</v>
      </c>
      <c r="H5" s="160">
        <v>0.05</v>
      </c>
      <c r="I5" s="160">
        <v>5.0000000000000001E-3</v>
      </c>
      <c r="J5" s="160">
        <v>0.01</v>
      </c>
      <c r="K5" s="161">
        <v>7.5000000000000002E-4</v>
      </c>
      <c r="L5" s="160">
        <v>1.5E-3</v>
      </c>
      <c r="M5" s="160">
        <v>0.03</v>
      </c>
      <c r="N5" s="160">
        <v>0.05</v>
      </c>
      <c r="O5" s="160" t="s">
        <v>95</v>
      </c>
      <c r="P5" s="158" t="s">
        <v>96</v>
      </c>
    </row>
    <row r="6" spans="1:16" s="159" customFormat="1" ht="14.85" customHeight="1">
      <c r="A6" s="264" t="s">
        <v>97</v>
      </c>
      <c r="B6" s="264"/>
      <c r="C6" s="162" t="s">
        <v>16</v>
      </c>
      <c r="D6" s="163">
        <v>5.8999999999999997E-2</v>
      </c>
      <c r="E6" s="162" t="s">
        <v>91</v>
      </c>
      <c r="F6" s="163">
        <v>5.0000000000000001E-3</v>
      </c>
      <c r="G6" s="162" t="s">
        <v>92</v>
      </c>
      <c r="H6" s="163">
        <v>0.04</v>
      </c>
      <c r="I6" s="162" t="s">
        <v>93</v>
      </c>
      <c r="J6" s="164">
        <v>8.0000000000000004E-4</v>
      </c>
      <c r="K6" s="162" t="s">
        <v>12</v>
      </c>
      <c r="L6" s="164">
        <v>1.0499999999999999E-3</v>
      </c>
      <c r="M6" s="162" t="s">
        <v>88</v>
      </c>
      <c r="N6" s="165">
        <v>0.04</v>
      </c>
      <c r="O6" s="160">
        <v>4.0000000000000001E-3</v>
      </c>
      <c r="P6" s="166">
        <v>6.9999999999999999E-4</v>
      </c>
    </row>
    <row r="7" spans="1:16">
      <c r="A7" s="155"/>
      <c r="B7" s="155"/>
      <c r="C7" s="155"/>
      <c r="D7" s="155"/>
      <c r="E7" s="155"/>
      <c r="F7" s="5"/>
      <c r="G7" s="5"/>
      <c r="H7" s="5"/>
      <c r="I7" s="43"/>
      <c r="J7" s="43"/>
      <c r="K7" s="5"/>
      <c r="L7" s="5"/>
    </row>
    <row r="8" spans="1:16">
      <c r="A8" s="155"/>
      <c r="B8" s="155"/>
      <c r="C8" s="155"/>
      <c r="D8" s="155"/>
      <c r="E8" s="155"/>
      <c r="F8" s="155"/>
      <c r="G8" s="155"/>
      <c r="H8" s="155"/>
      <c r="I8" s="155"/>
      <c r="J8" s="155"/>
      <c r="K8" s="155"/>
      <c r="L8" s="155"/>
      <c r="M8" s="155"/>
    </row>
    <row r="9" spans="1:16">
      <c r="A9" s="46"/>
      <c r="B9" s="9"/>
      <c r="C9" s="10"/>
      <c r="D9" s="9"/>
      <c r="E9" s="10"/>
      <c r="F9" s="47"/>
      <c r="G9" s="47"/>
      <c r="H9" s="47"/>
      <c r="I9" s="9"/>
      <c r="J9" s="10"/>
      <c r="K9" s="9"/>
      <c r="L9" s="10"/>
    </row>
    <row r="10" spans="1:16">
      <c r="A10" s="46"/>
      <c r="B10" s="48" t="s">
        <v>11</v>
      </c>
      <c r="C10" s="49"/>
      <c r="D10" s="172" t="s">
        <v>12</v>
      </c>
      <c r="E10" s="172" t="s">
        <v>93</v>
      </c>
      <c r="F10" s="172" t="s">
        <v>100</v>
      </c>
      <c r="G10" s="172" t="s">
        <v>88</v>
      </c>
      <c r="H10" s="172" t="s">
        <v>92</v>
      </c>
      <c r="I10" s="173" t="s">
        <v>91</v>
      </c>
      <c r="J10" s="173" t="s">
        <v>16</v>
      </c>
      <c r="K10" s="2" t="s">
        <v>89</v>
      </c>
      <c r="L10" s="185" t="s">
        <v>101</v>
      </c>
    </row>
    <row r="11" spans="1:16">
      <c r="A11" s="46"/>
      <c r="B11" s="46"/>
      <c r="C11" s="46"/>
      <c r="D11" s="46"/>
      <c r="E11" s="46"/>
      <c r="F11" s="46"/>
      <c r="G11" s="46"/>
      <c r="H11" s="46"/>
      <c r="I11" s="46"/>
      <c r="J11" s="46"/>
      <c r="K11" s="46"/>
    </row>
    <row r="12" spans="1:16" ht="15.6">
      <c r="A12" s="50" t="s">
        <v>18</v>
      </c>
      <c r="B12" s="191" t="s">
        <v>106</v>
      </c>
      <c r="C12" s="149" t="s">
        <v>19</v>
      </c>
      <c r="D12" s="178">
        <v>2.9999999999999997E-4</v>
      </c>
      <c r="E12" s="149"/>
      <c r="F12" s="52"/>
      <c r="G12" s="52"/>
      <c r="H12" s="53"/>
      <c r="I12" s="53"/>
      <c r="J12" s="53"/>
      <c r="K12" s="53"/>
      <c r="L12" s="6">
        <v>6768</v>
      </c>
      <c r="M12" s="1" t="s">
        <v>79</v>
      </c>
    </row>
    <row r="13" spans="1:16" ht="15.6">
      <c r="A13" s="46">
        <v>1</v>
      </c>
      <c r="B13" s="58"/>
      <c r="C13" s="55" t="s">
        <v>21</v>
      </c>
      <c r="D13" s="178"/>
      <c r="E13" s="56"/>
      <c r="F13" s="56"/>
      <c r="G13" s="56"/>
      <c r="H13" s="56"/>
      <c r="I13" s="56"/>
      <c r="J13" s="56"/>
      <c r="K13" s="56"/>
      <c r="L13" s="57">
        <f>L12-L14</f>
        <v>135.50221002048784</v>
      </c>
      <c r="M13" s="1" t="s">
        <v>22</v>
      </c>
    </row>
    <row r="14" spans="1:16" ht="15.6">
      <c r="A14" s="46"/>
      <c r="B14" s="58"/>
      <c r="C14" s="51" t="s">
        <v>24</v>
      </c>
      <c r="D14" s="178">
        <f>IF(D13&gt;0,(D12+D13)/2,D12)</f>
        <v>2.9999999999999997E-4</v>
      </c>
      <c r="E14" s="52"/>
      <c r="F14" s="52"/>
      <c r="G14" s="52"/>
      <c r="H14" s="52"/>
      <c r="I14" s="52"/>
      <c r="J14" s="52"/>
      <c r="K14" s="52"/>
      <c r="L14" s="6">
        <f>RetDozare!B34</f>
        <v>6632.4977899795122</v>
      </c>
    </row>
    <row r="15" spans="1:16" hidden="1">
      <c r="A15" s="46"/>
      <c r="B15" s="59"/>
      <c r="D15" s="60"/>
      <c r="E15" s="60"/>
      <c r="F15" s="60"/>
      <c r="G15" s="60"/>
      <c r="H15" s="60"/>
      <c r="I15" s="60"/>
      <c r="J15" s="1"/>
      <c r="L15" s="3"/>
    </row>
    <row r="16" spans="1:16" hidden="1">
      <c r="A16" s="50" t="s">
        <v>18</v>
      </c>
      <c r="B16" s="105"/>
      <c r="C16" s="51" t="s">
        <v>19</v>
      </c>
      <c r="D16" s="52"/>
      <c r="E16" s="52"/>
      <c r="F16" s="52"/>
      <c r="G16" s="52"/>
      <c r="H16" s="53"/>
      <c r="I16" s="53"/>
      <c r="J16" s="1"/>
      <c r="L16" s="6"/>
      <c r="M16" s="1" t="s">
        <v>79</v>
      </c>
      <c r="N16" s="7"/>
      <c r="O16" s="8"/>
    </row>
    <row r="17" spans="1:14" hidden="1">
      <c r="A17" s="46">
        <v>2</v>
      </c>
      <c r="B17" s="54"/>
      <c r="C17" s="51" t="s">
        <v>21</v>
      </c>
      <c r="D17" s="52"/>
      <c r="E17" s="52"/>
      <c r="F17" s="52"/>
      <c r="G17" s="52"/>
      <c r="H17" s="53"/>
      <c r="I17" s="53"/>
      <c r="J17" s="1"/>
      <c r="L17" s="6"/>
      <c r="M17" s="1" t="s">
        <v>22</v>
      </c>
    </row>
    <row r="18" spans="1:14" hidden="1">
      <c r="A18" s="46"/>
      <c r="B18" s="61"/>
      <c r="C18" s="51" t="s">
        <v>24</v>
      </c>
      <c r="D18" s="52"/>
      <c r="E18" s="52"/>
      <c r="F18" s="52"/>
      <c r="G18" s="52"/>
      <c r="H18" s="52"/>
      <c r="I18" s="52"/>
      <c r="J18" s="1"/>
      <c r="L18" s="6"/>
    </row>
    <row r="19" spans="1:14" hidden="1">
      <c r="A19" s="46"/>
      <c r="B19" s="62"/>
      <c r="D19" s="60"/>
      <c r="E19" s="60"/>
      <c r="F19" s="60"/>
      <c r="G19" s="60"/>
      <c r="H19" s="63"/>
      <c r="J19" s="1"/>
      <c r="L19" s="3"/>
    </row>
    <row r="20" spans="1:14" hidden="1">
      <c r="A20" s="50" t="s">
        <v>18</v>
      </c>
      <c r="B20" s="105"/>
      <c r="C20" s="51" t="s">
        <v>19</v>
      </c>
      <c r="D20" s="52"/>
      <c r="E20" s="52"/>
      <c r="F20" s="52"/>
      <c r="G20" s="52"/>
      <c r="H20" s="53"/>
      <c r="I20" s="53"/>
      <c r="J20" s="1"/>
      <c r="L20" s="6"/>
      <c r="M20" s="1" t="s">
        <v>79</v>
      </c>
    </row>
    <row r="21" spans="1:14" hidden="1">
      <c r="A21" s="46">
        <v>3</v>
      </c>
      <c r="B21" s="58"/>
      <c r="C21" s="51" t="s">
        <v>21</v>
      </c>
      <c r="D21" s="52"/>
      <c r="E21" s="52"/>
      <c r="F21" s="52"/>
      <c r="G21" s="52"/>
      <c r="H21" s="53"/>
      <c r="I21" s="53"/>
      <c r="J21" s="1"/>
      <c r="L21" s="6"/>
      <c r="M21" s="1" t="s">
        <v>22</v>
      </c>
    </row>
    <row r="22" spans="1:14" hidden="1">
      <c r="A22" s="46"/>
      <c r="B22" s="58"/>
      <c r="C22" s="51" t="s">
        <v>24</v>
      </c>
      <c r="D22" s="52"/>
      <c r="E22" s="52"/>
      <c r="F22" s="52"/>
      <c r="G22" s="52"/>
      <c r="H22" s="52"/>
      <c r="I22" s="52"/>
      <c r="J22" s="1"/>
      <c r="L22" s="6"/>
    </row>
    <row r="23" spans="1:14" hidden="1">
      <c r="A23" s="46"/>
      <c r="B23" s="59"/>
      <c r="D23" s="60"/>
      <c r="E23" s="60"/>
      <c r="F23" s="60"/>
      <c r="G23" s="60"/>
      <c r="H23" s="63"/>
      <c r="J23" s="1"/>
      <c r="L23" s="3"/>
      <c r="N23" s="59"/>
    </row>
    <row r="24" spans="1:14" hidden="1">
      <c r="A24" s="50" t="s">
        <v>18</v>
      </c>
      <c r="B24" s="48"/>
      <c r="C24" s="51" t="s">
        <v>19</v>
      </c>
      <c r="D24" s="52"/>
      <c r="E24" s="52"/>
      <c r="F24" s="52"/>
      <c r="G24" s="52"/>
      <c r="H24" s="53"/>
      <c r="I24" s="53"/>
      <c r="J24" s="1"/>
      <c r="L24" s="6"/>
      <c r="M24" s="1" t="s">
        <v>79</v>
      </c>
      <c r="N24" s="46"/>
    </row>
    <row r="25" spans="1:14" hidden="1">
      <c r="A25" s="46">
        <v>4</v>
      </c>
      <c r="B25" s="58"/>
      <c r="C25" s="51" t="s">
        <v>21</v>
      </c>
      <c r="D25" s="52"/>
      <c r="E25" s="52"/>
      <c r="F25" s="52"/>
      <c r="G25" s="52"/>
      <c r="H25" s="53"/>
      <c r="I25" s="53"/>
      <c r="J25" s="1"/>
      <c r="L25" s="6"/>
      <c r="M25" s="1" t="s">
        <v>22</v>
      </c>
      <c r="N25" s="46"/>
    </row>
    <row r="26" spans="1:14" hidden="1">
      <c r="A26" s="46"/>
      <c r="B26" s="58"/>
      <c r="C26" s="51" t="s">
        <v>24</v>
      </c>
      <c r="D26" s="52"/>
      <c r="E26" s="52"/>
      <c r="F26" s="52"/>
      <c r="G26" s="52"/>
      <c r="H26" s="52"/>
      <c r="I26" s="52"/>
      <c r="J26" s="1"/>
      <c r="L26" s="6"/>
      <c r="M26" s="1" t="s">
        <v>25</v>
      </c>
    </row>
    <row r="27" spans="1:14" hidden="1">
      <c r="A27" s="46"/>
      <c r="B27" s="59"/>
      <c r="D27" s="60"/>
      <c r="E27" s="60"/>
      <c r="F27" s="60"/>
      <c r="G27" s="60"/>
      <c r="H27" s="63"/>
      <c r="J27" s="1"/>
      <c r="L27" s="3"/>
    </row>
    <row r="28" spans="1:14" hidden="1">
      <c r="A28" s="50" t="s">
        <v>18</v>
      </c>
      <c r="B28" s="58"/>
      <c r="C28" s="51" t="s">
        <v>19</v>
      </c>
      <c r="D28" s="52"/>
      <c r="E28" s="52"/>
      <c r="F28" s="52"/>
      <c r="G28" s="52"/>
      <c r="H28" s="53"/>
      <c r="I28" s="53"/>
      <c r="J28" s="1"/>
      <c r="L28" s="6"/>
      <c r="M28" s="1" t="s">
        <v>79</v>
      </c>
    </row>
    <row r="29" spans="1:14" hidden="1">
      <c r="A29" s="46">
        <v>5</v>
      </c>
      <c r="B29" s="58"/>
      <c r="C29" s="51" t="s">
        <v>21</v>
      </c>
      <c r="D29" s="52"/>
      <c r="E29" s="52"/>
      <c r="F29" s="52"/>
      <c r="G29" s="52"/>
      <c r="H29" s="53"/>
      <c r="I29" s="53"/>
      <c r="J29" s="1"/>
      <c r="L29" s="6"/>
      <c r="M29" s="1" t="s">
        <v>22</v>
      </c>
    </row>
    <row r="30" spans="1:14" hidden="1">
      <c r="A30" s="46"/>
      <c r="B30" s="58"/>
      <c r="C30" s="51" t="s">
        <v>24</v>
      </c>
      <c r="D30" s="52"/>
      <c r="E30" s="52"/>
      <c r="F30" s="52"/>
      <c r="G30" s="52"/>
      <c r="H30" s="52"/>
      <c r="I30" s="52"/>
      <c r="J30" s="1"/>
      <c r="L30" s="6"/>
      <c r="M30" s="1" t="s">
        <v>79</v>
      </c>
    </row>
    <row r="31" spans="1:14" ht="15.75" hidden="1" customHeight="1">
      <c r="A31" s="46"/>
      <c r="B31" s="59"/>
      <c r="D31" s="60"/>
      <c r="E31" s="60"/>
      <c r="F31" s="60"/>
      <c r="G31" s="60"/>
      <c r="H31" s="60"/>
      <c r="I31" s="60"/>
      <c r="J31" s="1"/>
      <c r="L31" s="3"/>
    </row>
    <row r="32" spans="1:14" hidden="1">
      <c r="A32" s="50" t="s">
        <v>18</v>
      </c>
      <c r="B32" s="58"/>
      <c r="C32" s="51" t="s">
        <v>19</v>
      </c>
      <c r="D32" s="52"/>
      <c r="E32" s="52"/>
      <c r="F32" s="52"/>
      <c r="G32" s="52"/>
      <c r="H32" s="53"/>
      <c r="I32" s="53"/>
      <c r="J32" s="1"/>
      <c r="L32" s="6">
        <v>2000</v>
      </c>
      <c r="M32" s="1" t="s">
        <v>79</v>
      </c>
    </row>
    <row r="33" spans="1:15" hidden="1">
      <c r="A33" s="46">
        <v>6</v>
      </c>
      <c r="B33" s="58" t="s">
        <v>78</v>
      </c>
      <c r="C33" s="51" t="s">
        <v>21</v>
      </c>
      <c r="D33" s="52"/>
      <c r="E33" s="52"/>
      <c r="F33" s="52"/>
      <c r="G33" s="52"/>
      <c r="H33" s="53"/>
      <c r="I33" s="53"/>
      <c r="J33" s="1"/>
      <c r="L33" s="6"/>
      <c r="M33" s="1" t="s">
        <v>22</v>
      </c>
    </row>
    <row r="34" spans="1:15" hidden="1">
      <c r="A34" s="46"/>
      <c r="B34" s="58" t="s">
        <v>23</v>
      </c>
      <c r="C34" s="51" t="s">
        <v>24</v>
      </c>
      <c r="D34" s="52">
        <f>IF(D33&gt;0,(D32+D33)/2,D32)</f>
        <v>0</v>
      </c>
      <c r="E34" s="52">
        <f>IF(E33&gt;0,(E32+E33)/2,E32)</f>
        <v>0</v>
      </c>
      <c r="F34" s="52"/>
      <c r="G34" s="52"/>
      <c r="H34" s="52"/>
      <c r="I34" s="52"/>
      <c r="J34" s="1"/>
      <c r="L34" s="6"/>
      <c r="M34" s="1" t="s">
        <v>25</v>
      </c>
    </row>
    <row r="35" spans="1:15" hidden="1">
      <c r="A35" s="46"/>
      <c r="B35" s="59"/>
      <c r="D35" s="60"/>
      <c r="E35" s="60"/>
      <c r="F35" s="60"/>
      <c r="G35" s="60"/>
      <c r="H35" s="60"/>
      <c r="I35" s="60"/>
      <c r="J35" s="1"/>
      <c r="L35" s="3"/>
    </row>
    <row r="36" spans="1:15" hidden="1">
      <c r="A36" s="50" t="s">
        <v>18</v>
      </c>
      <c r="B36" s="58"/>
      <c r="C36" s="51" t="s">
        <v>19</v>
      </c>
      <c r="D36" s="52"/>
      <c r="E36" s="52"/>
      <c r="F36" s="52"/>
      <c r="G36" s="52"/>
      <c r="H36" s="53"/>
      <c r="I36" s="53"/>
      <c r="J36" s="1"/>
      <c r="L36" s="6"/>
      <c r="M36" s="1" t="s">
        <v>79</v>
      </c>
      <c r="O36" s="3"/>
    </row>
    <row r="37" spans="1:15" hidden="1">
      <c r="A37" s="46">
        <v>7</v>
      </c>
      <c r="B37" s="58" t="s">
        <v>20</v>
      </c>
      <c r="C37" s="51" t="s">
        <v>21</v>
      </c>
      <c r="D37" s="52"/>
      <c r="E37" s="52"/>
      <c r="F37" s="52"/>
      <c r="G37" s="52"/>
      <c r="H37" s="53"/>
      <c r="I37" s="53"/>
      <c r="J37" s="1"/>
      <c r="L37" s="6"/>
      <c r="M37" s="1" t="s">
        <v>22</v>
      </c>
    </row>
    <row r="38" spans="1:15" hidden="1">
      <c r="A38" s="46"/>
      <c r="B38" s="58" t="s">
        <v>23</v>
      </c>
      <c r="C38" s="51" t="s">
        <v>24</v>
      </c>
      <c r="D38" s="52">
        <f>IF(D37&gt;0,(D36+D37)/2,D36)</f>
        <v>0</v>
      </c>
      <c r="E38" s="52">
        <f>IF(E37&gt;0,(E36+E37)/2,E36)</f>
        <v>0</v>
      </c>
      <c r="F38" s="52">
        <f>IF(F37&gt;0,(F36+F37)/2,F36)</f>
        <v>0</v>
      </c>
      <c r="G38" s="52">
        <f>IF(G37&gt;0,(G36+G37)/2,G36)</f>
        <v>0</v>
      </c>
      <c r="H38" s="52"/>
      <c r="I38" s="52"/>
      <c r="J38" s="1"/>
      <c r="L38" s="6">
        <v>0</v>
      </c>
      <c r="M38" s="1" t="s">
        <v>25</v>
      </c>
    </row>
    <row r="39" spans="1:15" hidden="1">
      <c r="A39" s="46"/>
      <c r="B39" s="59"/>
      <c r="D39" s="60"/>
      <c r="E39" s="60"/>
      <c r="F39" s="60"/>
      <c r="G39" s="60"/>
      <c r="H39" s="63"/>
      <c r="J39" s="1"/>
      <c r="L39" s="3"/>
    </row>
    <row r="40" spans="1:15" hidden="1">
      <c r="A40" s="50" t="s">
        <v>18</v>
      </c>
      <c r="B40" s="58"/>
      <c r="C40" s="51" t="s">
        <v>19</v>
      </c>
      <c r="D40" s="52"/>
      <c r="E40" s="52"/>
      <c r="F40" s="52"/>
      <c r="G40" s="52"/>
      <c r="H40" s="53"/>
      <c r="I40" s="53"/>
      <c r="J40" s="1"/>
      <c r="L40" s="6">
        <v>1750</v>
      </c>
      <c r="M40" s="1" t="s">
        <v>79</v>
      </c>
    </row>
    <row r="41" spans="1:15" hidden="1">
      <c r="A41" s="46">
        <v>8</v>
      </c>
      <c r="B41" s="58" t="s">
        <v>20</v>
      </c>
      <c r="C41" s="51" t="s">
        <v>21</v>
      </c>
      <c r="D41" s="52"/>
      <c r="E41" s="52"/>
      <c r="F41" s="52"/>
      <c r="G41" s="52"/>
      <c r="H41" s="53"/>
      <c r="I41" s="53"/>
      <c r="J41" s="1"/>
      <c r="L41" s="6">
        <v>1750</v>
      </c>
      <c r="M41" s="1" t="s">
        <v>22</v>
      </c>
    </row>
    <row r="42" spans="1:15" hidden="1">
      <c r="A42" s="46"/>
      <c r="B42" s="58" t="s">
        <v>23</v>
      </c>
      <c r="C42" s="51" t="s">
        <v>24</v>
      </c>
      <c r="D42" s="52">
        <f>IF(D41&gt;0,(D40+D41)/2,D40)</f>
        <v>0</v>
      </c>
      <c r="E42" s="52">
        <f>IF(E41&gt;0,(E40+E41)/2,E40)</f>
        <v>0</v>
      </c>
      <c r="F42" s="52">
        <f>IF(F41&gt;0,(F40+F41)/2,F40)</f>
        <v>0</v>
      </c>
      <c r="G42" s="52">
        <f>IF(G41&gt;0,(G40+G41)/2,G40)</f>
        <v>0</v>
      </c>
      <c r="H42" s="52"/>
      <c r="I42" s="52"/>
      <c r="J42" s="1"/>
      <c r="L42" s="6"/>
      <c r="M42" s="1" t="s">
        <v>25</v>
      </c>
    </row>
    <row r="43" spans="1:15" hidden="1">
      <c r="A43" s="46"/>
      <c r="B43" s="59"/>
      <c r="D43" s="60"/>
      <c r="E43" s="60"/>
      <c r="F43" s="60"/>
      <c r="G43" s="60"/>
      <c r="H43" s="60"/>
      <c r="I43" s="60"/>
      <c r="J43" s="1"/>
      <c r="L43" s="3"/>
    </row>
    <row r="44" spans="1:15">
      <c r="A44" s="46"/>
      <c r="B44" s="59"/>
      <c r="D44" s="60"/>
      <c r="E44" s="60"/>
      <c r="F44" s="60"/>
      <c r="G44" s="60"/>
      <c r="H44" s="63"/>
      <c r="J44" s="1"/>
      <c r="L44" s="3"/>
    </row>
    <row r="45" spans="1:15" ht="15.6">
      <c r="A45" s="198" t="s">
        <v>98</v>
      </c>
      <c r="B45" s="167" t="s">
        <v>99</v>
      </c>
      <c r="C45" s="149" t="s">
        <v>19</v>
      </c>
      <c r="D45" s="178">
        <v>8.9999999999999998E-4</v>
      </c>
      <c r="E45" s="184"/>
      <c r="F45" s="184"/>
      <c r="G45" s="184"/>
      <c r="H45" s="184"/>
      <c r="I45" s="178">
        <v>0.65100000000000002</v>
      </c>
      <c r="J45" s="178">
        <v>0.34699999999999998</v>
      </c>
      <c r="K45" s="149"/>
      <c r="L45" s="111">
        <v>342</v>
      </c>
      <c r="M45" s="1" t="s">
        <v>79</v>
      </c>
    </row>
    <row r="46" spans="1:15" ht="15.6">
      <c r="A46" s="50"/>
      <c r="B46" s="147" t="s">
        <v>84</v>
      </c>
      <c r="C46" s="107" t="s">
        <v>21</v>
      </c>
      <c r="D46" s="196"/>
      <c r="E46" s="197"/>
      <c r="F46" s="180"/>
      <c r="G46" s="178"/>
      <c r="H46" s="178"/>
      <c r="I46" s="178"/>
      <c r="J46" s="196"/>
      <c r="K46" s="108"/>
      <c r="L46" s="253">
        <f>L45-L47</f>
        <v>1.2288786482334899</v>
      </c>
      <c r="M46" s="1" t="s">
        <v>22</v>
      </c>
    </row>
    <row r="47" spans="1:15" ht="15.6">
      <c r="A47" s="199"/>
      <c r="B47" s="109"/>
      <c r="C47" s="107" t="s">
        <v>24</v>
      </c>
      <c r="D47" s="178">
        <f t="shared" ref="D47:J47" si="0">IF(D46&gt;0,(D45+D46)/2,D45)</f>
        <v>8.9999999999999998E-4</v>
      </c>
      <c r="E47" s="178"/>
      <c r="F47" s="178"/>
      <c r="G47" s="178"/>
      <c r="H47" s="178"/>
      <c r="I47" s="178">
        <f t="shared" si="0"/>
        <v>0.65100000000000002</v>
      </c>
      <c r="J47" s="178">
        <f t="shared" si="0"/>
        <v>0.34699999999999998</v>
      </c>
      <c r="K47" s="52">
        <f t="shared" ref="K47" si="1">IF(K46&gt;0,(K45+K46)/2,K45)</f>
        <v>0</v>
      </c>
      <c r="L47" s="110">
        <f>RetDozare!C34</f>
        <v>340.77112135176651</v>
      </c>
      <c r="M47" s="1" t="s">
        <v>25</v>
      </c>
    </row>
    <row r="48" spans="1:15">
      <c r="A48" s="50"/>
      <c r="B48" s="59"/>
      <c r="D48" s="60"/>
      <c r="E48" s="60"/>
      <c r="F48" s="60"/>
      <c r="G48" s="60"/>
      <c r="H48" s="60"/>
      <c r="I48" s="60"/>
      <c r="J48" s="1"/>
      <c r="L48" s="3"/>
    </row>
    <row r="49" spans="1:13" hidden="1">
      <c r="A49" s="50" t="s">
        <v>26</v>
      </c>
      <c r="B49" s="58"/>
      <c r="C49" s="51" t="s">
        <v>19</v>
      </c>
      <c r="D49" s="64">
        <v>6.8000000000000005E-4</v>
      </c>
      <c r="E49" s="64">
        <v>1.4E-3</v>
      </c>
      <c r="F49" s="52"/>
      <c r="G49" s="52"/>
      <c r="H49" s="64">
        <v>0.63749999999999996</v>
      </c>
      <c r="I49" s="64">
        <v>0.35499999999999998</v>
      </c>
      <c r="J49" s="1"/>
      <c r="L49" s="6">
        <v>270</v>
      </c>
      <c r="M49" s="1" t="s">
        <v>79</v>
      </c>
    </row>
    <row r="50" spans="1:13" hidden="1">
      <c r="A50" s="50">
        <v>2</v>
      </c>
      <c r="B50" s="65"/>
      <c r="C50" s="51" t="s">
        <v>21</v>
      </c>
      <c r="D50" s="64"/>
      <c r="E50" s="64"/>
      <c r="F50" s="52"/>
      <c r="G50" s="52"/>
      <c r="H50" s="64">
        <v>0.63160000000000005</v>
      </c>
      <c r="I50" s="64">
        <v>0.36249999999999999</v>
      </c>
      <c r="J50" s="1"/>
      <c r="L50" s="6">
        <f>L49-L51</f>
        <v>270</v>
      </c>
      <c r="M50" s="1" t="s">
        <v>22</v>
      </c>
    </row>
    <row r="51" spans="1:13" hidden="1">
      <c r="A51" s="50"/>
      <c r="B51" s="58"/>
      <c r="C51" s="51" t="s">
        <v>24</v>
      </c>
      <c r="D51" s="64">
        <f>IF(D50&gt;0,(D49+D50)/2,D49)</f>
        <v>6.8000000000000005E-4</v>
      </c>
      <c r="E51" s="64">
        <f>IF(E50&gt;0,(E49+E50)/2,E49)</f>
        <v>1.4E-3</v>
      </c>
      <c r="F51" s="52"/>
      <c r="G51" s="52"/>
      <c r="H51" s="64">
        <f>IF(H50&gt;0,(H49+H50)/2,H49)</f>
        <v>0.63454999999999995</v>
      </c>
      <c r="I51" s="64">
        <f>IF(I50&gt;0,(I49+I50)/2,I49)</f>
        <v>0.35875000000000001</v>
      </c>
      <c r="J51" s="1"/>
      <c r="L51" s="6"/>
      <c r="M51" s="1" t="s">
        <v>25</v>
      </c>
    </row>
    <row r="52" spans="1:13" hidden="1">
      <c r="A52" s="50"/>
      <c r="B52" s="59"/>
      <c r="D52" s="60"/>
      <c r="E52" s="60"/>
      <c r="F52" s="60"/>
      <c r="G52" s="60"/>
      <c r="H52" s="60"/>
      <c r="I52" s="60"/>
      <c r="J52" s="1"/>
      <c r="L52" s="3"/>
    </row>
    <row r="53" spans="1:13" hidden="1">
      <c r="A53" s="50" t="s">
        <v>26</v>
      </c>
      <c r="B53" s="66"/>
      <c r="C53" s="51" t="s">
        <v>19</v>
      </c>
      <c r="D53" s="52"/>
      <c r="E53" s="52"/>
      <c r="F53" s="52"/>
      <c r="G53" s="52"/>
      <c r="H53" s="52"/>
      <c r="I53" s="52"/>
      <c r="J53" s="1"/>
      <c r="L53" s="6"/>
      <c r="M53" s="1" t="s">
        <v>79</v>
      </c>
    </row>
    <row r="54" spans="1:13" hidden="1">
      <c r="A54" s="4">
        <v>3</v>
      </c>
      <c r="B54" s="58"/>
      <c r="C54" s="51" t="s">
        <v>21</v>
      </c>
      <c r="D54" s="52"/>
      <c r="E54" s="52"/>
      <c r="F54" s="52"/>
      <c r="G54" s="52"/>
      <c r="H54" s="52"/>
      <c r="I54" s="52"/>
      <c r="J54" s="1"/>
      <c r="L54" s="6"/>
      <c r="M54" s="1" t="s">
        <v>22</v>
      </c>
    </row>
    <row r="55" spans="1:13" hidden="1">
      <c r="A55" s="50"/>
      <c r="B55" s="194"/>
      <c r="C55" s="55" t="s">
        <v>24</v>
      </c>
      <c r="D55" s="56">
        <f>IF(D54&gt;0,(D53+D54)/2,D53)</f>
        <v>0</v>
      </c>
      <c r="E55" s="56">
        <f>IF(E54&gt;0,(E53+E54)/2,E53)</f>
        <v>0</v>
      </c>
      <c r="F55" s="56"/>
      <c r="G55" s="56"/>
      <c r="H55" s="56">
        <f>IF(H54&gt;0,(H53+H54)/2,H53)</f>
        <v>0</v>
      </c>
      <c r="I55" s="56">
        <f>IF(I54&gt;0,(I53+I54)/2,I53)</f>
        <v>0</v>
      </c>
      <c r="J55" s="1"/>
      <c r="L55" s="57"/>
      <c r="M55" s="1" t="s">
        <v>25</v>
      </c>
    </row>
    <row r="56" spans="1:13" ht="15.6">
      <c r="A56" s="50"/>
      <c r="B56" s="167" t="s">
        <v>110</v>
      </c>
      <c r="C56" s="149" t="s">
        <v>19</v>
      </c>
      <c r="D56" s="178">
        <v>7.9000000000000001E-4</v>
      </c>
      <c r="E56" s="178">
        <v>0.59499999999999997</v>
      </c>
      <c r="F56" s="52"/>
      <c r="G56" s="52"/>
      <c r="H56" s="52"/>
      <c r="I56" s="169"/>
      <c r="J56" s="149">
        <v>0.40250000000000002</v>
      </c>
      <c r="K56" s="51"/>
      <c r="L56" s="6">
        <v>400</v>
      </c>
    </row>
    <row r="57" spans="1:13">
      <c r="A57" s="50" t="s">
        <v>109</v>
      </c>
      <c r="B57" s="147"/>
      <c r="C57" s="107" t="s">
        <v>21</v>
      </c>
      <c r="D57" s="52"/>
      <c r="E57" s="52"/>
      <c r="F57" s="52"/>
      <c r="G57" s="52"/>
      <c r="H57" s="52"/>
      <c r="I57" s="52"/>
      <c r="J57" s="51"/>
      <c r="K57" s="51"/>
      <c r="L57" s="253">
        <f>L56-L58</f>
        <v>0.2151260504201673</v>
      </c>
    </row>
    <row r="58" spans="1:13">
      <c r="A58" s="46"/>
      <c r="B58" s="195"/>
      <c r="C58" s="107" t="s">
        <v>24</v>
      </c>
      <c r="D58" s="52"/>
      <c r="E58" s="52"/>
      <c r="F58" s="52"/>
      <c r="G58" s="52"/>
      <c r="H58" s="52"/>
      <c r="I58" s="52"/>
      <c r="J58" s="51"/>
      <c r="K58" s="51"/>
      <c r="L58" s="256">
        <f>RetDozare!G34</f>
        <v>399.78487394957983</v>
      </c>
    </row>
    <row r="59" spans="1:13">
      <c r="A59" s="46"/>
      <c r="B59" s="59"/>
      <c r="D59" s="60"/>
      <c r="E59" s="60"/>
      <c r="F59" s="60"/>
      <c r="G59" s="60"/>
      <c r="H59" s="60"/>
      <c r="I59" s="60"/>
      <c r="J59" s="1"/>
      <c r="L59" s="3"/>
    </row>
    <row r="60" spans="1:13" hidden="1">
      <c r="A60" s="46"/>
      <c r="B60" s="59"/>
      <c r="D60" s="60"/>
      <c r="E60" s="60"/>
      <c r="F60" s="60"/>
      <c r="G60" s="60"/>
      <c r="H60" s="60"/>
      <c r="I60" s="60"/>
      <c r="J60" s="1"/>
      <c r="L60" s="3"/>
    </row>
    <row r="61" spans="1:13" ht="15.6">
      <c r="A61" s="50" t="s">
        <v>27</v>
      </c>
      <c r="B61" s="167" t="s">
        <v>102</v>
      </c>
      <c r="C61" s="149" t="s">
        <v>19</v>
      </c>
      <c r="D61" s="184"/>
      <c r="E61" s="184"/>
      <c r="F61" s="184"/>
      <c r="G61" s="184"/>
      <c r="H61" s="184"/>
      <c r="I61" s="149">
        <v>0.99819999999999998</v>
      </c>
      <c r="J61" s="51"/>
      <c r="K61" s="51"/>
      <c r="L61" s="67">
        <v>1770</v>
      </c>
      <c r="M61" s="1" t="s">
        <v>79</v>
      </c>
    </row>
    <row r="62" spans="1:13" ht="17.399999999999999">
      <c r="A62" s="46"/>
      <c r="B62" s="114"/>
      <c r="C62" s="113" t="s">
        <v>21</v>
      </c>
      <c r="D62" s="112"/>
      <c r="E62" s="112"/>
      <c r="F62" s="112"/>
      <c r="G62" s="112"/>
      <c r="H62" s="52"/>
      <c r="I62" s="112"/>
      <c r="J62" s="51"/>
      <c r="K62" s="51"/>
      <c r="L62" s="253">
        <f>L61-L63</f>
        <v>8.943088432948116</v>
      </c>
      <c r="M62" s="1" t="s">
        <v>22</v>
      </c>
    </row>
    <row r="63" spans="1:13" ht="17.399999999999999">
      <c r="A63" s="46"/>
      <c r="B63" s="109"/>
      <c r="C63" s="113" t="s">
        <v>24</v>
      </c>
      <c r="D63" s="112"/>
      <c r="E63" s="52"/>
      <c r="F63" s="52"/>
      <c r="G63" s="52"/>
      <c r="H63" s="52"/>
      <c r="I63" s="149">
        <f t="shared" ref="I63" si="2">IF(I62&gt;0,(I61+I62)/2,I61)</f>
        <v>0.99819999999999998</v>
      </c>
      <c r="J63" s="51"/>
      <c r="K63" s="51"/>
      <c r="L63" s="6">
        <f>RetDozare!D34</f>
        <v>1761.0569115670519</v>
      </c>
      <c r="M63" s="1" t="s">
        <v>25</v>
      </c>
    </row>
    <row r="64" spans="1:13" hidden="1">
      <c r="A64" s="46"/>
      <c r="B64" s="59"/>
      <c r="D64" s="60"/>
      <c r="E64" s="60"/>
      <c r="F64" s="60"/>
      <c r="G64" s="60"/>
      <c r="H64" s="60"/>
      <c r="I64" s="60"/>
      <c r="J64" s="1"/>
      <c r="L64" s="3"/>
    </row>
    <row r="65" spans="1:13" hidden="1">
      <c r="A65" s="50" t="s">
        <v>27</v>
      </c>
      <c r="B65" s="66"/>
      <c r="C65" s="51" t="s">
        <v>19</v>
      </c>
      <c r="D65" s="52"/>
      <c r="E65" s="52">
        <v>1.2000000000000001E-3</v>
      </c>
      <c r="F65" s="52"/>
      <c r="G65" s="52"/>
      <c r="H65" s="52"/>
      <c r="I65" s="52">
        <v>0.99830000000000008</v>
      </c>
      <c r="J65" s="1"/>
      <c r="L65" s="6"/>
      <c r="M65" s="1" t="s">
        <v>79</v>
      </c>
    </row>
    <row r="66" spans="1:13" hidden="1">
      <c r="A66" s="46">
        <v>2</v>
      </c>
      <c r="B66" s="58"/>
      <c r="C66" s="51" t="s">
        <v>21</v>
      </c>
      <c r="D66" s="52"/>
      <c r="E66" s="52"/>
      <c r="F66" s="52"/>
      <c r="G66" s="52"/>
      <c r="H66" s="52"/>
      <c r="I66" s="52"/>
      <c r="J66" s="1"/>
      <c r="L66" s="6"/>
      <c r="M66" s="1" t="s">
        <v>22</v>
      </c>
    </row>
    <row r="67" spans="1:13" hidden="1">
      <c r="A67" s="46"/>
      <c r="B67" s="58"/>
      <c r="C67" s="51" t="s">
        <v>24</v>
      </c>
      <c r="D67" s="52"/>
      <c r="E67" s="52">
        <f>IF(E66&gt;0,(E65+E66)/2,E65)</f>
        <v>1.2000000000000001E-3</v>
      </c>
      <c r="F67" s="52"/>
      <c r="G67" s="52"/>
      <c r="H67" s="52"/>
      <c r="I67" s="52">
        <f>IF(I66&gt;0,(I65+I66)/2,I65)</f>
        <v>0.99830000000000008</v>
      </c>
      <c r="J67" s="1"/>
      <c r="L67" s="6"/>
    </row>
    <row r="68" spans="1:13" hidden="1">
      <c r="A68" s="46"/>
      <c r="B68" s="59"/>
      <c r="D68" s="60"/>
      <c r="E68" s="60"/>
      <c r="F68" s="60"/>
      <c r="G68" s="60"/>
      <c r="H68" s="60"/>
      <c r="I68" s="60"/>
      <c r="J68" s="1"/>
      <c r="L68" s="3"/>
    </row>
    <row r="69" spans="1:13" hidden="1">
      <c r="A69" s="50" t="s">
        <v>28</v>
      </c>
      <c r="B69" s="58" t="s">
        <v>29</v>
      </c>
      <c r="C69" s="51" t="s">
        <v>19</v>
      </c>
      <c r="D69" s="52"/>
      <c r="E69" s="52">
        <v>0.99990000000000001</v>
      </c>
      <c r="F69" s="52"/>
      <c r="G69" s="52">
        <v>4.9999999999999996E-6</v>
      </c>
      <c r="H69" s="52"/>
      <c r="I69" s="52">
        <v>0</v>
      </c>
      <c r="J69" s="1"/>
      <c r="L69" s="6"/>
      <c r="M69" s="1" t="s">
        <v>79</v>
      </c>
    </row>
    <row r="70" spans="1:13" hidden="1">
      <c r="A70" s="46">
        <v>1</v>
      </c>
      <c r="B70" s="58"/>
      <c r="C70" s="51"/>
      <c r="D70" s="52"/>
      <c r="E70" s="52"/>
      <c r="F70" s="52"/>
      <c r="G70" s="52"/>
      <c r="H70" s="52"/>
      <c r="I70" s="52"/>
      <c r="J70" s="1"/>
      <c r="L70" s="6"/>
      <c r="M70" s="1" t="s">
        <v>22</v>
      </c>
    </row>
    <row r="71" spans="1:13" hidden="1">
      <c r="A71" s="46"/>
      <c r="B71" s="58"/>
      <c r="C71" s="51" t="s">
        <v>24</v>
      </c>
      <c r="D71" s="52">
        <f>IF(D70&gt;0,(D69+D70)/2,D69)</f>
        <v>0</v>
      </c>
      <c r="E71" s="52">
        <f>IF(E70&gt;0,(E69+E70)/2,E69)</f>
        <v>0.99990000000000001</v>
      </c>
      <c r="F71" s="52"/>
      <c r="G71" s="52"/>
      <c r="H71" s="52">
        <f>IF(H70&gt;0,(H69+H70)/2,H69)</f>
        <v>0</v>
      </c>
      <c r="I71" s="52">
        <f>IF(I70&gt;0,(I69+I70)/2,I69)</f>
        <v>0</v>
      </c>
      <c r="J71" s="1"/>
      <c r="L71" s="6"/>
      <c r="M71" s="1" t="s">
        <v>25</v>
      </c>
    </row>
    <row r="72" spans="1:13">
      <c r="A72" s="46"/>
      <c r="B72" s="59"/>
      <c r="D72" s="60"/>
      <c r="E72" s="60"/>
      <c r="F72" s="60"/>
      <c r="G72" s="60"/>
      <c r="H72" s="60"/>
      <c r="I72" s="60"/>
      <c r="J72" s="1"/>
      <c r="L72" s="3"/>
    </row>
    <row r="73" spans="1:13" ht="15">
      <c r="A73" s="50" t="s">
        <v>30</v>
      </c>
      <c r="B73" s="167" t="s">
        <v>85</v>
      </c>
      <c r="C73" s="51" t="s">
        <v>19</v>
      </c>
      <c r="D73" s="52">
        <v>0.4</v>
      </c>
      <c r="E73" s="52"/>
      <c r="F73" s="52"/>
      <c r="G73" s="52"/>
      <c r="H73" s="52"/>
      <c r="I73" s="52"/>
      <c r="J73" s="52"/>
      <c r="K73" s="52"/>
      <c r="L73" s="67">
        <v>486</v>
      </c>
      <c r="M73" s="1" t="s">
        <v>79</v>
      </c>
    </row>
    <row r="74" spans="1:13">
      <c r="A74" s="46"/>
      <c r="B74" s="66" t="s">
        <v>31</v>
      </c>
      <c r="C74" s="51"/>
      <c r="D74" s="52"/>
      <c r="E74" s="52"/>
      <c r="F74" s="52"/>
      <c r="G74" s="52"/>
      <c r="H74" s="52"/>
      <c r="I74" s="52"/>
      <c r="J74" s="52"/>
      <c r="K74" s="52"/>
      <c r="L74" s="253">
        <f>L73-L75</f>
        <v>0.3711783063484404</v>
      </c>
      <c r="M74" s="1" t="s">
        <v>22</v>
      </c>
    </row>
    <row r="75" spans="1:13">
      <c r="A75" s="45"/>
      <c r="B75" s="58"/>
      <c r="C75" s="51" t="s">
        <v>24</v>
      </c>
      <c r="D75" s="52">
        <f>IF(D74&gt;0,(D73+D74)/2,D73)</f>
        <v>0.4</v>
      </c>
      <c r="E75" s="52"/>
      <c r="F75" s="52"/>
      <c r="G75" s="52"/>
      <c r="H75" s="52"/>
      <c r="I75" s="52"/>
      <c r="J75" s="52"/>
      <c r="K75" s="52"/>
      <c r="L75" s="6">
        <f>RetDozare!H34</f>
        <v>485.62882169365156</v>
      </c>
      <c r="M75" s="1" t="s">
        <v>25</v>
      </c>
    </row>
    <row r="77" spans="1:13" ht="15.6">
      <c r="B77" s="193" t="s">
        <v>103</v>
      </c>
      <c r="C77" s="174"/>
      <c r="D77" s="178"/>
      <c r="E77" s="178"/>
      <c r="F77" s="178"/>
      <c r="G77" s="178"/>
      <c r="H77" s="178">
        <v>0.97629999999999995</v>
      </c>
      <c r="I77" s="178"/>
      <c r="J77" s="178"/>
      <c r="K77" s="178"/>
      <c r="L77" s="179">
        <v>10</v>
      </c>
    </row>
    <row r="78" spans="1:13" ht="15.6">
      <c r="A78" s="4" t="s">
        <v>92</v>
      </c>
      <c r="B78" s="190">
        <v>24.210319999999999</v>
      </c>
      <c r="C78" s="174"/>
      <c r="D78" s="178"/>
      <c r="E78" s="178"/>
      <c r="F78" s="178"/>
      <c r="G78" s="178"/>
      <c r="H78" s="178"/>
      <c r="I78" s="178"/>
      <c r="J78" s="178"/>
      <c r="K78" s="178"/>
      <c r="L78" s="253">
        <f>L77-L79</f>
        <v>6.5553620813274618</v>
      </c>
    </row>
    <row r="79" spans="1:13" ht="15.6">
      <c r="A79" s="4"/>
      <c r="B79" s="177"/>
      <c r="C79" s="174"/>
      <c r="D79" s="178"/>
      <c r="E79" s="178"/>
      <c r="F79" s="178"/>
      <c r="G79" s="178"/>
      <c r="H79" s="178">
        <f>IF(H78&gt;0,(H77+H78)/2,H77)</f>
        <v>0.97629999999999995</v>
      </c>
      <c r="I79" s="178"/>
      <c r="J79" s="178"/>
      <c r="K79" s="178"/>
      <c r="L79" s="179">
        <f>RetDozare!E34</f>
        <v>3.4446379186725382</v>
      </c>
    </row>
    <row r="80" spans="1:13">
      <c r="A80" s="4"/>
    </row>
    <row r="81" spans="1:12" ht="15.6">
      <c r="A81" s="4"/>
      <c r="B81" s="192" t="s">
        <v>104</v>
      </c>
      <c r="C81" s="175"/>
      <c r="D81" s="178"/>
      <c r="E81" s="178"/>
      <c r="F81" s="178"/>
      <c r="G81" s="178">
        <v>0.99960000000000004</v>
      </c>
      <c r="H81" s="175"/>
      <c r="I81" s="175"/>
      <c r="J81" s="180"/>
      <c r="K81" s="186"/>
      <c r="L81" s="186">
        <v>291</v>
      </c>
    </row>
    <row r="82" spans="1:12" ht="15.6">
      <c r="A82" s="4" t="s">
        <v>88</v>
      </c>
      <c r="B82" s="187" t="s">
        <v>105</v>
      </c>
      <c r="C82" s="175"/>
      <c r="D82" s="178"/>
      <c r="E82" s="178"/>
      <c r="F82" s="178"/>
      <c r="G82" s="175"/>
      <c r="H82" s="175"/>
      <c r="I82" s="175"/>
      <c r="J82" s="180"/>
      <c r="K82" s="179"/>
      <c r="L82" s="253">
        <f>L81-L83</f>
        <v>6.4025610244097493</v>
      </c>
    </row>
    <row r="83" spans="1:12" ht="15.6">
      <c r="A83" s="4"/>
      <c r="B83" s="181"/>
      <c r="C83" s="175"/>
      <c r="D83" s="178"/>
      <c r="E83" s="178"/>
      <c r="F83" s="178"/>
      <c r="G83" s="178">
        <f>IF(G82&gt;0,(G81+G82)/2,G81)</f>
        <v>0.99960000000000004</v>
      </c>
      <c r="H83" s="175"/>
      <c r="I83" s="175"/>
      <c r="J83" s="180"/>
      <c r="K83" s="179"/>
      <c r="L83" s="179">
        <f>RetDozare!F34</f>
        <v>284.59743897559025</v>
      </c>
    </row>
    <row r="84" spans="1:12">
      <c r="A84" s="4"/>
    </row>
    <row r="85" spans="1:12" ht="15.6">
      <c r="A85" s="4"/>
      <c r="B85" s="177" t="s">
        <v>107</v>
      </c>
      <c r="C85" s="175"/>
      <c r="D85" s="178">
        <v>2.0000000000000001E-4</v>
      </c>
      <c r="E85" s="178">
        <v>4.0000000000000002E-4</v>
      </c>
      <c r="F85" s="178">
        <v>0.61499999999999999</v>
      </c>
      <c r="G85" s="175"/>
      <c r="H85" s="175"/>
      <c r="I85" s="175"/>
      <c r="J85" s="175"/>
      <c r="K85" s="175"/>
      <c r="L85" s="186">
        <v>20.2</v>
      </c>
    </row>
    <row r="86" spans="1:12" ht="15.6">
      <c r="A86" s="4" t="s">
        <v>100</v>
      </c>
      <c r="B86" s="187" t="s">
        <v>108</v>
      </c>
      <c r="C86" s="175"/>
      <c r="D86" s="178"/>
      <c r="E86" s="178"/>
      <c r="F86" s="178"/>
      <c r="G86" s="175"/>
      <c r="H86" s="175"/>
      <c r="I86" s="175"/>
      <c r="J86" s="175"/>
      <c r="K86" s="175"/>
      <c r="L86" s="186">
        <f>L85-L87</f>
        <v>1.0406504065040636</v>
      </c>
    </row>
    <row r="87" spans="1:12" ht="15.6">
      <c r="A87" s="4"/>
      <c r="B87" s="181"/>
      <c r="C87" s="175"/>
      <c r="D87" s="178">
        <f>IF(D86&gt;0,(D85+D86)/2,D85)</f>
        <v>2.0000000000000001E-4</v>
      </c>
      <c r="E87" s="178">
        <f>IF(E86&gt;0,(E85+E86)/2,E85)</f>
        <v>4.0000000000000002E-4</v>
      </c>
      <c r="F87" s="178">
        <f>IF(F86&gt;0,(F85+F86)/2,F85)</f>
        <v>0.61499999999999999</v>
      </c>
      <c r="G87" s="175"/>
      <c r="H87" s="175"/>
      <c r="I87" s="175"/>
      <c r="J87" s="175"/>
      <c r="K87" s="175"/>
      <c r="L87" s="186">
        <f>RetDozare!I34</f>
        <v>19.159349593495936</v>
      </c>
    </row>
    <row r="88" spans="1:12" ht="15.6">
      <c r="A88" s="4"/>
      <c r="B88" s="254"/>
      <c r="C88" s="171"/>
      <c r="D88" s="188"/>
      <c r="E88" s="188"/>
      <c r="F88" s="188"/>
      <c r="G88" s="171"/>
      <c r="H88" s="171"/>
      <c r="I88" s="171"/>
      <c r="J88" s="171"/>
      <c r="K88" s="171"/>
      <c r="L88" s="255"/>
    </row>
    <row r="89" spans="1:12" ht="15.6">
      <c r="A89" s="4"/>
      <c r="B89" s="254"/>
      <c r="C89" s="171"/>
      <c r="D89" s="188"/>
      <c r="E89" s="188"/>
      <c r="F89" s="188"/>
      <c r="G89" s="171"/>
      <c r="H89" s="171"/>
      <c r="I89" s="171"/>
      <c r="J89" s="171"/>
      <c r="K89" s="171"/>
      <c r="L89" s="255"/>
    </row>
    <row r="91" spans="1:12" ht="15.6">
      <c r="B91" s="200" t="s">
        <v>14</v>
      </c>
      <c r="C91" s="51"/>
      <c r="D91" s="51"/>
      <c r="E91" s="51"/>
      <c r="F91" s="51"/>
      <c r="G91" s="51"/>
      <c r="H91" s="51"/>
      <c r="I91" s="51"/>
      <c r="J91" s="178"/>
      <c r="K91" s="178">
        <v>0.99960000000000004</v>
      </c>
      <c r="L91" s="186">
        <v>0.4</v>
      </c>
    </row>
    <row r="92" spans="1:12">
      <c r="B92" s="201" t="s">
        <v>111</v>
      </c>
      <c r="C92" s="51"/>
      <c r="D92" s="51"/>
      <c r="E92" s="51"/>
      <c r="F92" s="51"/>
      <c r="G92" s="51"/>
      <c r="H92" s="51"/>
      <c r="I92" s="51"/>
      <c r="J92" s="51"/>
      <c r="K92" s="51"/>
      <c r="L92" s="253">
        <f>L91-L93</f>
        <v>0.11212333566923616</v>
      </c>
    </row>
    <row r="93" spans="1:12" ht="15.6">
      <c r="B93" s="202"/>
      <c r="C93" s="51"/>
      <c r="D93" s="51"/>
      <c r="E93" s="51"/>
      <c r="F93" s="51"/>
      <c r="G93" s="51"/>
      <c r="H93" s="51"/>
      <c r="I93" s="51"/>
      <c r="J93" s="51"/>
      <c r="K93" s="178">
        <f>IF(K92&gt;0,(K91+K92)/2,K91)</f>
        <v>0.99960000000000004</v>
      </c>
      <c r="L93" s="260">
        <f>RetDozare!J34</f>
        <v>0.28787666433076387</v>
      </c>
    </row>
  </sheetData>
  <sheetProtection selectLockedCells="1" selectUnlockedCells="1"/>
  <mergeCells count="10">
    <mergeCell ref="I4:J4"/>
    <mergeCell ref="K4:L4"/>
    <mergeCell ref="M4:N4"/>
    <mergeCell ref="A5:B5"/>
    <mergeCell ref="A6:B6"/>
    <mergeCell ref="A3:E3"/>
    <mergeCell ref="A4:B4"/>
    <mergeCell ref="C4:D4"/>
    <mergeCell ref="E4:F4"/>
    <mergeCell ref="G4:H4"/>
  </mergeCells>
  <pageMargins left="0.23622047244094491" right="0.23622047244094491" top="0.74803149606299213" bottom="0.74803149606299213" header="0.31496062992125984" footer="0.31496062992125984"/>
  <pageSetup paperSize="9" scale="80" orientation="landscape" useFirstPageNumber="1" r:id="rId1"/>
  <headerFooter alignWithMargins="0">
    <oddHeader>&amp;C&amp;"Times New Roman,Regular"&amp;11&amp;F&amp;R&amp;"Times New Roman,Regular"&amp;12Data : 15.05.2025</oddHeader>
    <oddFooter>&amp;L&amp;"Times New Roman,Obișnuit"&amp;12Sectie Productie Lingouri,
Chiru Dan&amp;C&amp;11Intocmit,
Racasanu Georgeta&amp;R&amp;"Times New Roman,Obișnuit"&amp;12 Birou Tehnic, Rusea Adrian
                                        pg. &amp;P
Formular Cod:PGQ036.F8.00</oddFooter>
  </headerFooter>
  <ignoredErrors>
    <ignoredError sqref="B7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65"/>
  <sheetViews>
    <sheetView zoomScaleNormal="100" workbookViewId="0">
      <selection activeCell="N11" sqref="N11"/>
    </sheetView>
  </sheetViews>
  <sheetFormatPr defaultColWidth="10.109375" defaultRowHeight="13.8"/>
  <cols>
    <col min="1" max="1" width="8.6640625" style="12" bestFit="1" customWidth="1"/>
    <col min="2" max="2" width="11.33203125" style="12" customWidth="1"/>
    <col min="3" max="3" width="12.44140625" style="12" customWidth="1"/>
    <col min="4" max="4" width="12.6640625" style="12" customWidth="1"/>
    <col min="5" max="5" width="8.44140625" style="12" bestFit="1" customWidth="1"/>
    <col min="6" max="6" width="9.33203125" style="12" customWidth="1"/>
    <col min="7" max="7" width="8.33203125" style="12" bestFit="1" customWidth="1"/>
    <col min="8" max="8" width="10.33203125" style="12" customWidth="1"/>
    <col min="9" max="9" width="10.88671875" style="12" customWidth="1"/>
    <col min="10" max="10" width="11" style="12" customWidth="1"/>
    <col min="11" max="11" width="11.6640625" style="12" customWidth="1"/>
    <col min="12" max="12" width="8.33203125" style="12" bestFit="1" customWidth="1"/>
    <col min="13" max="16384" width="10.109375" style="12"/>
  </cols>
  <sheetData>
    <row r="1" spans="1:12">
      <c r="A1" s="11"/>
      <c r="B1" s="11"/>
      <c r="C1" s="11"/>
      <c r="D1" s="11"/>
      <c r="E1" s="11"/>
      <c r="G1" s="13"/>
      <c r="H1" s="14"/>
    </row>
    <row r="2" spans="1:12" ht="14.4" thickBot="1">
      <c r="A2" s="11"/>
      <c r="B2" s="11"/>
      <c r="C2" s="11"/>
      <c r="D2" s="11"/>
      <c r="E2" s="11"/>
      <c r="G2" s="13"/>
      <c r="H2" s="14"/>
    </row>
    <row r="3" spans="1:12" ht="14.4" thickBot="1">
      <c r="A3" s="272">
        <f>astm</f>
        <v>0</v>
      </c>
      <c r="B3" s="272"/>
      <c r="C3" s="272"/>
      <c r="D3" s="272"/>
      <c r="E3" s="272"/>
      <c r="G3" s="15" t="s">
        <v>0</v>
      </c>
      <c r="H3" s="16" t="str">
        <f>comanda</f>
        <v>25840</v>
      </c>
      <c r="I3" s="278" t="s">
        <v>32</v>
      </c>
      <c r="J3" s="279"/>
      <c r="K3" s="279"/>
    </row>
    <row r="4" spans="1:12">
      <c r="A4" s="17"/>
      <c r="B4" s="18" t="s">
        <v>1</v>
      </c>
      <c r="C4" s="19" t="s">
        <v>2</v>
      </c>
      <c r="D4" s="19" t="s">
        <v>3</v>
      </c>
      <c r="E4" s="19" t="s">
        <v>4</v>
      </c>
      <c r="F4" s="19" t="s">
        <v>5</v>
      </c>
      <c r="G4" s="19" t="s">
        <v>6</v>
      </c>
      <c r="H4" s="19" t="s">
        <v>7</v>
      </c>
      <c r="I4" s="19" t="s">
        <v>8</v>
      </c>
      <c r="J4" s="19" t="s">
        <v>9</v>
      </c>
      <c r="K4" s="19" t="s">
        <v>10</v>
      </c>
    </row>
    <row r="5" spans="1:12" ht="21.6">
      <c r="A5" s="70" t="s">
        <v>82</v>
      </c>
      <c r="B5" s="71" t="e">
        <f>DateIntrare!#REF!</f>
        <v>#REF!</v>
      </c>
      <c r="C5" s="71" t="e">
        <f>DateIntrare!#REF!</f>
        <v>#REF!</v>
      </c>
      <c r="D5" s="71" t="e">
        <f>DateIntrare!#REF!</f>
        <v>#REF!</v>
      </c>
      <c r="E5" s="71" t="e">
        <f>DateIntrare!#REF!</f>
        <v>#REF!</v>
      </c>
      <c r="F5" s="71" t="e">
        <f>DateIntrare!#REF!</f>
        <v>#REF!</v>
      </c>
      <c r="G5" s="71" t="e">
        <f>DateIntrare!#REF!</f>
        <v>#REF!</v>
      </c>
      <c r="H5" s="71" t="e">
        <f>DateIntrare!#REF!</f>
        <v>#REF!</v>
      </c>
      <c r="I5" s="71" t="e">
        <f>DateIntrare!#REF!</f>
        <v>#REF!</v>
      </c>
      <c r="J5" s="71" t="e">
        <f>DateIntrare!#REF!</f>
        <v>#REF!</v>
      </c>
      <c r="K5" s="71" t="e">
        <f>DateIntrare!#REF!</f>
        <v>#REF!</v>
      </c>
    </row>
    <row r="6" spans="1:12" ht="14.4">
      <c r="A6" s="2" t="s">
        <v>83</v>
      </c>
      <c r="B6" s="72" t="e">
        <f>DateIntrare!#REF!</f>
        <v>#REF!</v>
      </c>
      <c r="C6" s="72">
        <v>9.5E-4</v>
      </c>
      <c r="D6" s="72">
        <v>8.7000000000000001E-4</v>
      </c>
      <c r="E6" s="71"/>
      <c r="F6" s="71"/>
      <c r="G6" s="71"/>
      <c r="H6" s="72" t="e">
        <f>DateIntrare!#REF!</f>
        <v>#REF!</v>
      </c>
      <c r="I6" s="72" t="e">
        <f>DateIntrare!#REF!</f>
        <v>#REF!</v>
      </c>
      <c r="J6" s="72" t="e">
        <f>DateIntrare!#REF!</f>
        <v>#REF!</v>
      </c>
      <c r="K6" s="72" t="e">
        <f>DateIntrare!#REF!</f>
        <v>#REF!</v>
      </c>
    </row>
    <row r="7" spans="1:12">
      <c r="A7" s="21"/>
    </row>
    <row r="8" spans="1:12" ht="14.4" thickBot="1">
      <c r="A8" s="273" t="s">
        <v>87</v>
      </c>
      <c r="B8" s="274"/>
      <c r="C8" s="274"/>
      <c r="D8" s="274"/>
      <c r="E8" s="274"/>
      <c r="F8" s="274"/>
      <c r="G8" s="274"/>
      <c r="H8" s="275"/>
    </row>
    <row r="9" spans="1:12">
      <c r="A9" s="115"/>
      <c r="B9" s="126"/>
      <c r="C9" s="116" t="s">
        <v>33</v>
      </c>
      <c r="D9" s="116" t="s">
        <v>34</v>
      </c>
      <c r="E9" s="117"/>
      <c r="F9" s="117" t="s">
        <v>35</v>
      </c>
      <c r="G9" s="117" t="s">
        <v>36</v>
      </c>
      <c r="H9" s="117" t="s">
        <v>37</v>
      </c>
      <c r="I9" s="96"/>
      <c r="K9" s="276" t="s">
        <v>38</v>
      </c>
      <c r="L9" s="276"/>
    </row>
    <row r="10" spans="1:12">
      <c r="A10" s="118" t="s">
        <v>39</v>
      </c>
      <c r="B10" s="75" t="s">
        <v>40</v>
      </c>
      <c r="C10" s="121">
        <v>17</v>
      </c>
      <c r="D10" s="22">
        <v>2</v>
      </c>
      <c r="E10" s="277"/>
      <c r="F10" s="277"/>
      <c r="G10" s="23"/>
      <c r="H10" s="23"/>
      <c r="I10" s="97"/>
      <c r="K10" s="106">
        <v>2.9700000000000001E-2</v>
      </c>
      <c r="L10" s="23" t="s">
        <v>16</v>
      </c>
    </row>
    <row r="11" spans="1:12">
      <c r="A11" s="100"/>
      <c r="B11" s="75" t="s">
        <v>41</v>
      </c>
      <c r="C11" s="122">
        <v>40</v>
      </c>
      <c r="D11" s="25"/>
      <c r="E11" s="23"/>
      <c r="F11" s="23"/>
      <c r="G11" s="23"/>
      <c r="H11" s="23"/>
      <c r="I11" s="97"/>
      <c r="K11" s="106">
        <v>2.5000000000000001E-2</v>
      </c>
      <c r="L11" s="23" t="s">
        <v>15</v>
      </c>
    </row>
    <row r="12" spans="1:12">
      <c r="A12" s="100"/>
      <c r="B12" s="75" t="s">
        <v>42</v>
      </c>
      <c r="C12" s="73"/>
      <c r="D12" s="26">
        <v>0.35</v>
      </c>
      <c r="E12" s="23"/>
      <c r="F12" s="26"/>
      <c r="G12" s="26"/>
      <c r="H12" s="26"/>
      <c r="I12" s="97"/>
      <c r="K12" s="106">
        <v>9.5E-4</v>
      </c>
      <c r="L12" s="23" t="s">
        <v>12</v>
      </c>
    </row>
    <row r="13" spans="1:12">
      <c r="A13" s="100"/>
      <c r="B13" s="75" t="s">
        <v>43</v>
      </c>
      <c r="C13" s="73"/>
      <c r="D13" s="26">
        <f>4*D14/(3.14*D12^2*4430*0.74)</f>
        <v>2.1570872970770685</v>
      </c>
      <c r="E13" s="26"/>
      <c r="F13" s="26"/>
      <c r="G13" s="26"/>
      <c r="H13" s="26"/>
      <c r="I13" s="98"/>
      <c r="K13" s="152">
        <v>8.7000000000000001E-4</v>
      </c>
      <c r="L13" s="23" t="s">
        <v>13</v>
      </c>
    </row>
    <row r="14" spans="1:12">
      <c r="A14" s="119"/>
      <c r="B14" s="75" t="s">
        <v>17</v>
      </c>
      <c r="C14" s="73"/>
      <c r="D14" s="26">
        <f>C11*nrpresbara</f>
        <v>680</v>
      </c>
      <c r="E14" s="26"/>
      <c r="F14" s="26"/>
      <c r="G14" s="26"/>
      <c r="H14" s="26">
        <v>0.2</v>
      </c>
      <c r="I14" s="97"/>
    </row>
    <row r="15" spans="1:12">
      <c r="A15" s="118" t="s">
        <v>44</v>
      </c>
      <c r="B15" s="75" t="s">
        <v>45</v>
      </c>
      <c r="C15" s="36">
        <f>IF(C10&gt;22,2,1)</f>
        <v>1</v>
      </c>
      <c r="D15" s="27">
        <v>1</v>
      </c>
      <c r="E15" s="26"/>
      <c r="F15" s="26"/>
      <c r="G15" s="26"/>
      <c r="H15" s="26"/>
      <c r="I15" s="97"/>
      <c r="K15" s="276" t="s">
        <v>46</v>
      </c>
      <c r="L15" s="276"/>
    </row>
    <row r="16" spans="1:12" ht="14.4">
      <c r="A16" s="119"/>
      <c r="B16" s="75" t="s">
        <v>17</v>
      </c>
      <c r="C16" s="73">
        <f>IF(C10&gt;22,D14/C15,D14)</f>
        <v>680</v>
      </c>
      <c r="D16" s="26">
        <f>C16*C15</f>
        <v>680</v>
      </c>
      <c r="E16" s="26"/>
      <c r="F16" s="26"/>
      <c r="G16" s="26"/>
      <c r="H16" s="26"/>
      <c r="I16" s="97"/>
      <c r="K16" s="20" t="s">
        <v>47</v>
      </c>
      <c r="L16" s="52" t="s">
        <v>86</v>
      </c>
    </row>
    <row r="17" spans="1:12">
      <c r="A17" s="100" t="s">
        <v>48</v>
      </c>
      <c r="B17" s="127"/>
      <c r="C17" s="39"/>
      <c r="D17" s="28">
        <f>D10</f>
        <v>2</v>
      </c>
      <c r="E17" s="29" t="s">
        <v>49</v>
      </c>
      <c r="F17" s="26"/>
      <c r="G17" s="26"/>
      <c r="H17" s="26"/>
      <c r="I17" s="99" t="s">
        <v>81</v>
      </c>
      <c r="K17" s="30">
        <f>alalv1</f>
        <v>0.65100000000000002</v>
      </c>
      <c r="L17" s="23" t="s">
        <v>16</v>
      </c>
    </row>
    <row r="18" spans="1:12">
      <c r="A18" s="100"/>
      <c r="B18" s="75" t="s">
        <v>42</v>
      </c>
      <c r="C18" s="73">
        <f>D12</f>
        <v>0.35</v>
      </c>
      <c r="D18" s="26">
        <v>0.49</v>
      </c>
      <c r="E18" s="23"/>
      <c r="F18" s="26"/>
      <c r="G18" s="26"/>
      <c r="H18" s="26"/>
      <c r="I18" s="82">
        <f>D18+0.01</f>
        <v>0.5</v>
      </c>
      <c r="K18" s="30">
        <f>valv1</f>
        <v>0</v>
      </c>
      <c r="L18" s="23" t="s">
        <v>15</v>
      </c>
    </row>
    <row r="19" spans="1:12">
      <c r="A19" s="100"/>
      <c r="B19" s="75" t="s">
        <v>43</v>
      </c>
      <c r="C19" s="73">
        <f>D13</f>
        <v>2.1570872970770685</v>
      </c>
      <c r="D19" s="26">
        <f>D20*4/(D18^2*3.14*4450)</f>
        <v>0.82863443459545183</v>
      </c>
      <c r="E19" s="26"/>
      <c r="F19" s="26"/>
      <c r="G19" s="26"/>
      <c r="H19" s="26"/>
      <c r="I19" s="82">
        <f>D19/0.95</f>
        <v>0.87224677325837041</v>
      </c>
      <c r="K19" s="30" t="str">
        <f>IF(L16=lotalv1,oxalv1,IF(L16=lotalv2,oxalv2,"ERR LOT"))</f>
        <v>ERR LOT</v>
      </c>
      <c r="L19" s="23" t="s">
        <v>12</v>
      </c>
    </row>
    <row r="20" spans="1:12">
      <c r="A20" s="100"/>
      <c r="B20" s="75" t="s">
        <v>17</v>
      </c>
      <c r="C20" s="73">
        <f>D16</f>
        <v>680</v>
      </c>
      <c r="D20" s="26">
        <f>C20+C21-H20</f>
        <v>695</v>
      </c>
      <c r="E20" s="26"/>
      <c r="F20" s="26"/>
      <c r="G20" s="26"/>
      <c r="H20" s="26">
        <v>5</v>
      </c>
      <c r="I20" s="91">
        <f>D20</f>
        <v>695</v>
      </c>
      <c r="K20" s="30" t="str">
        <f>IF(L16=lotalv1,fealv1,IF(L16=lotalv2,fealv2,"ERR LOT"))</f>
        <v>ERR LOT</v>
      </c>
      <c r="L20" s="23" t="s">
        <v>13</v>
      </c>
    </row>
    <row r="21" spans="1:12">
      <c r="A21" s="119"/>
      <c r="B21" s="127" t="s">
        <v>50</v>
      </c>
      <c r="C21" s="123">
        <v>20</v>
      </c>
      <c r="D21" s="26"/>
      <c r="E21" s="26"/>
      <c r="F21" s="26"/>
      <c r="G21" s="26" t="s">
        <v>51</v>
      </c>
      <c r="H21" s="26">
        <v>2</v>
      </c>
      <c r="I21" s="97"/>
    </row>
    <row r="22" spans="1:12">
      <c r="A22" s="120" t="s">
        <v>52</v>
      </c>
      <c r="B22" s="75" t="s">
        <v>42</v>
      </c>
      <c r="C22" s="73">
        <f>D18</f>
        <v>0.49</v>
      </c>
      <c r="D22" s="26">
        <f>C22-0.005</f>
        <v>0.48499999999999999</v>
      </c>
      <c r="E22" s="26"/>
      <c r="F22" s="26"/>
      <c r="G22" s="26"/>
      <c r="H22" s="26"/>
      <c r="I22" s="97"/>
    </row>
    <row r="23" spans="1:12">
      <c r="A23" s="100"/>
      <c r="B23" s="75" t="s">
        <v>43</v>
      </c>
      <c r="C23" s="73">
        <f>D19</f>
        <v>0.82863443459545183</v>
      </c>
      <c r="D23" s="26">
        <f>C23-0.002</f>
        <v>0.82663443459545183</v>
      </c>
      <c r="E23" s="26"/>
      <c r="F23" s="26"/>
      <c r="G23" s="26"/>
      <c r="H23" s="26"/>
      <c r="I23" s="97"/>
    </row>
    <row r="24" spans="1:12">
      <c r="A24" s="119"/>
      <c r="B24" s="75" t="s">
        <v>17</v>
      </c>
      <c r="C24" s="150">
        <f>D20</f>
        <v>695</v>
      </c>
      <c r="D24" s="151">
        <f>3.14*D22^2/4*D23*4450</f>
        <v>679.24529274907843</v>
      </c>
      <c r="E24" s="29" t="s">
        <v>53</v>
      </c>
      <c r="F24" s="26"/>
      <c r="G24" s="26">
        <f>D20-D24</f>
        <v>15.75470725092157</v>
      </c>
      <c r="H24" s="26"/>
      <c r="I24" s="97"/>
    </row>
    <row r="25" spans="1:12" hidden="1">
      <c r="A25" s="118" t="s">
        <v>54</v>
      </c>
      <c r="B25" s="75"/>
      <c r="C25" s="124">
        <f>D10</f>
        <v>2</v>
      </c>
      <c r="D25" s="75">
        <v>1</v>
      </c>
      <c r="E25" s="73"/>
      <c r="F25" s="26"/>
      <c r="G25" s="26"/>
      <c r="H25" s="26"/>
      <c r="I25" s="97"/>
    </row>
    <row r="26" spans="1:12" hidden="1">
      <c r="A26" s="119"/>
      <c r="B26" s="75"/>
      <c r="C26" s="125">
        <f>D24</f>
        <v>679.24529274907843</v>
      </c>
      <c r="D26" s="74">
        <f>C26*C25</f>
        <v>1358.4905854981569</v>
      </c>
      <c r="E26" s="26"/>
      <c r="F26" s="26"/>
      <c r="G26" s="26"/>
      <c r="H26" s="26"/>
      <c r="I26" s="97"/>
    </row>
    <row r="27" spans="1:12" hidden="1">
      <c r="A27" s="118" t="s">
        <v>55</v>
      </c>
      <c r="B27" s="75"/>
      <c r="C27" s="73"/>
      <c r="D27" s="27">
        <v>1</v>
      </c>
      <c r="E27" s="29" t="s">
        <v>56</v>
      </c>
      <c r="F27" s="26"/>
      <c r="G27" s="26"/>
      <c r="H27" s="26"/>
      <c r="I27" s="99" t="s">
        <v>81</v>
      </c>
    </row>
    <row r="28" spans="1:12" hidden="1">
      <c r="A28" s="100"/>
      <c r="B28" s="75" t="s">
        <v>42</v>
      </c>
      <c r="C28" s="73">
        <f>D22</f>
        <v>0.48499999999999999</v>
      </c>
      <c r="D28" s="31">
        <v>0.59</v>
      </c>
      <c r="E28" s="26"/>
      <c r="F28" s="26"/>
      <c r="G28" s="26"/>
      <c r="H28" s="26"/>
      <c r="I28" s="82">
        <f>D28+0.01</f>
        <v>0.6</v>
      </c>
    </row>
    <row r="29" spans="1:12" hidden="1">
      <c r="A29" s="100"/>
      <c r="B29" s="75" t="s">
        <v>43</v>
      </c>
      <c r="C29" s="73">
        <f>D23*C25</f>
        <v>1.6532688691909037</v>
      </c>
      <c r="D29" s="26">
        <f>D30*4/(D28^2*3.14*4450)</f>
        <v>1.1196465638264999</v>
      </c>
      <c r="E29" s="26"/>
      <c r="F29" s="26"/>
      <c r="G29" s="26"/>
      <c r="H29" s="26"/>
      <c r="I29" s="82">
        <f>D29/0.95</f>
        <v>1.1785753303436841</v>
      </c>
    </row>
    <row r="30" spans="1:12" hidden="1">
      <c r="A30" s="100"/>
      <c r="B30" s="75" t="s">
        <v>17</v>
      </c>
      <c r="C30" s="73">
        <f>D26</f>
        <v>1358.4905854981569</v>
      </c>
      <c r="D30" s="26">
        <f>C30+C31-H30</f>
        <v>1361.4905854981569</v>
      </c>
      <c r="E30" s="26"/>
      <c r="F30" s="26"/>
      <c r="G30" s="26"/>
      <c r="H30" s="26">
        <v>5</v>
      </c>
      <c r="I30" s="91">
        <f>D30</f>
        <v>1361.4905854981569</v>
      </c>
    </row>
    <row r="31" spans="1:12" hidden="1">
      <c r="A31" s="119"/>
      <c r="B31" s="75" t="s">
        <v>50</v>
      </c>
      <c r="C31" s="130">
        <v>8</v>
      </c>
      <c r="D31" s="26"/>
      <c r="E31" s="26"/>
      <c r="F31" s="26"/>
      <c r="G31" s="23" t="s">
        <v>51</v>
      </c>
      <c r="H31" s="26">
        <v>3</v>
      </c>
      <c r="I31" s="97"/>
    </row>
    <row r="32" spans="1:12" hidden="1">
      <c r="A32" s="120" t="s">
        <v>57</v>
      </c>
      <c r="B32" s="75" t="s">
        <v>42</v>
      </c>
      <c r="C32" s="73">
        <f>D28</f>
        <v>0.59</v>
      </c>
      <c r="D32" s="26">
        <v>0.57499999999999996</v>
      </c>
      <c r="E32" s="26"/>
      <c r="F32" s="26"/>
      <c r="G32" s="26"/>
      <c r="H32" s="26"/>
      <c r="I32" s="97"/>
    </row>
    <row r="33" spans="1:9" hidden="1">
      <c r="A33" s="100"/>
      <c r="B33" s="75" t="s">
        <v>43</v>
      </c>
      <c r="C33" s="73">
        <f>D29</f>
        <v>1.1196465638264999</v>
      </c>
      <c r="D33" s="26">
        <f>C33-0.004</f>
        <v>1.1156465638264998</v>
      </c>
      <c r="E33" s="26"/>
      <c r="F33" s="26"/>
      <c r="G33" s="26"/>
      <c r="H33" s="26"/>
      <c r="I33" s="97"/>
    </row>
    <row r="34" spans="1:9" hidden="1">
      <c r="A34" s="119"/>
      <c r="B34" s="75" t="s">
        <v>17</v>
      </c>
      <c r="C34" s="73">
        <f>D30</f>
        <v>1361.4905854981569</v>
      </c>
      <c r="D34" s="26">
        <f>3.14*D32^2/4*D33*4450</f>
        <v>1288.522448723113</v>
      </c>
      <c r="E34" s="29" t="s">
        <v>58</v>
      </c>
      <c r="F34" s="26">
        <f>(C34-D34)*3/4</f>
        <v>54.726102581282873</v>
      </c>
      <c r="G34" s="26">
        <f>(C34-D34)*1/4</f>
        <v>18.242034193760958</v>
      </c>
      <c r="H34" s="26"/>
      <c r="I34" s="97"/>
    </row>
    <row r="35" spans="1:9" hidden="1">
      <c r="A35" s="118" t="s">
        <v>59</v>
      </c>
      <c r="B35" s="75" t="s">
        <v>42</v>
      </c>
      <c r="C35" s="73">
        <f>D32</f>
        <v>0.57499999999999996</v>
      </c>
      <c r="D35" s="32">
        <f>C35</f>
        <v>0.57499999999999996</v>
      </c>
      <c r="E35" s="26"/>
      <c r="F35" s="26"/>
      <c r="G35" s="26"/>
      <c r="H35" s="26"/>
      <c r="I35" s="101"/>
    </row>
    <row r="36" spans="1:9" hidden="1">
      <c r="A36" s="100"/>
      <c r="B36" s="75" t="s">
        <v>43</v>
      </c>
      <c r="C36" s="73">
        <f>D33</f>
        <v>1.1156465638264998</v>
      </c>
      <c r="D36" s="32">
        <f>C36-D39-D42-0.006</f>
        <v>0.9396465638264998</v>
      </c>
      <c r="E36" s="26"/>
      <c r="F36" s="26"/>
      <c r="G36" s="26"/>
      <c r="H36" s="26"/>
      <c r="I36" s="101"/>
    </row>
    <row r="37" spans="1:9" hidden="1">
      <c r="A37" s="119"/>
      <c r="B37" s="75" t="s">
        <v>17</v>
      </c>
      <c r="C37" s="73">
        <f>D34</f>
        <v>1288.522448723113</v>
      </c>
      <c r="D37" s="32">
        <f>3.14*D35^2/4*D36*4450</f>
        <v>1085.2502312231129</v>
      </c>
      <c r="E37" s="29" t="s">
        <v>60</v>
      </c>
      <c r="F37" s="26"/>
      <c r="G37" s="26">
        <f>3.14*D35^2/4*0.006*4450</f>
        <v>6.929734687499999</v>
      </c>
      <c r="H37" s="26"/>
      <c r="I37" s="101"/>
    </row>
    <row r="38" spans="1:9" hidden="1">
      <c r="A38" s="118" t="s">
        <v>61</v>
      </c>
      <c r="B38" s="75" t="s">
        <v>42</v>
      </c>
      <c r="C38" s="39"/>
      <c r="D38" s="26">
        <f>D35</f>
        <v>0.57499999999999996</v>
      </c>
      <c r="E38" s="26"/>
      <c r="F38" s="26"/>
      <c r="G38" s="26"/>
      <c r="H38" s="26"/>
      <c r="I38" s="97"/>
    </row>
    <row r="39" spans="1:9" hidden="1">
      <c r="A39" s="100"/>
      <c r="B39" s="75" t="s">
        <v>43</v>
      </c>
      <c r="C39" s="39"/>
      <c r="D39" s="69">
        <v>0.12</v>
      </c>
      <c r="E39" s="23"/>
      <c r="F39" s="23"/>
      <c r="G39" s="23"/>
      <c r="H39" s="26"/>
      <c r="I39" s="97"/>
    </row>
    <row r="40" spans="1:9" hidden="1">
      <c r="A40" s="119"/>
      <c r="B40" s="75" t="s">
        <v>17</v>
      </c>
      <c r="C40" s="39"/>
      <c r="D40" s="26">
        <f>3.14*D38^2/4*D39*4450</f>
        <v>138.59469374999998</v>
      </c>
      <c r="E40" s="29" t="s">
        <v>62</v>
      </c>
      <c r="F40" s="26">
        <f>D40</f>
        <v>138.59469374999998</v>
      </c>
      <c r="G40" s="26"/>
      <c r="H40" s="26"/>
      <c r="I40" s="97"/>
    </row>
    <row r="41" spans="1:9" hidden="1">
      <c r="A41" s="118" t="s">
        <v>63</v>
      </c>
      <c r="B41" s="75" t="s">
        <v>42</v>
      </c>
      <c r="C41" s="39"/>
      <c r="D41" s="26">
        <f>D35</f>
        <v>0.57499999999999996</v>
      </c>
      <c r="E41" s="26"/>
      <c r="F41" s="26"/>
      <c r="G41" s="26"/>
      <c r="H41" s="26"/>
      <c r="I41" s="97"/>
    </row>
    <row r="42" spans="1:9" hidden="1">
      <c r="A42" s="100"/>
      <c r="B42" s="75" t="s">
        <v>43</v>
      </c>
      <c r="C42" s="39"/>
      <c r="D42" s="69">
        <v>0.05</v>
      </c>
      <c r="E42" s="26"/>
      <c r="F42" s="26"/>
      <c r="G42" s="26"/>
      <c r="H42" s="26"/>
      <c r="I42" s="97"/>
    </row>
    <row r="43" spans="1:9" ht="14.4" hidden="1" thickBot="1">
      <c r="A43" s="128"/>
      <c r="B43" s="144" t="s">
        <v>17</v>
      </c>
      <c r="C43" s="131"/>
      <c r="D43" s="102">
        <f>3.14*D41^2/4*D42*4450</f>
        <v>57.747789062499997</v>
      </c>
      <c r="E43" s="103" t="s">
        <v>64</v>
      </c>
      <c r="F43" s="102">
        <f>D43</f>
        <v>57.747789062499997</v>
      </c>
      <c r="G43" s="102"/>
      <c r="H43" s="102"/>
      <c r="I43" s="104"/>
    </row>
    <row r="44" spans="1:9">
      <c r="A44" s="129" t="s">
        <v>65</v>
      </c>
      <c r="B44" s="143" t="s">
        <v>66</v>
      </c>
      <c r="C44" s="132" t="e">
        <f>C10*C11*D10-C45-C46</f>
        <v>#DIV/0!</v>
      </c>
      <c r="D44" s="41">
        <f>D37</f>
        <v>1085.2502312231129</v>
      </c>
      <c r="E44" s="94" t="s">
        <v>67</v>
      </c>
      <c r="F44" s="78"/>
      <c r="G44" s="74"/>
      <c r="H44" s="95"/>
    </row>
    <row r="45" spans="1:9">
      <c r="A45" s="100"/>
      <c r="B45" s="135" t="s">
        <v>68</v>
      </c>
      <c r="C45" s="133" t="e">
        <f>C10*C11*D10*K11/K18</f>
        <v>#DIV/0!</v>
      </c>
      <c r="D45" s="27">
        <f>F40</f>
        <v>138.59469374999998</v>
      </c>
      <c r="E45" s="33" t="s">
        <v>69</v>
      </c>
      <c r="F45" s="23"/>
      <c r="G45" s="26"/>
      <c r="H45" s="82"/>
    </row>
    <row r="46" spans="1:9">
      <c r="A46" s="100"/>
      <c r="B46" s="135" t="s">
        <v>16</v>
      </c>
      <c r="C46" s="133" t="e">
        <f>C10*C11*D10*K10-C45*K17</f>
        <v>#DIV/0!</v>
      </c>
      <c r="D46" s="27">
        <f>F43</f>
        <v>57.747789062499997</v>
      </c>
      <c r="E46" s="33" t="s">
        <v>70</v>
      </c>
      <c r="F46" s="23"/>
      <c r="G46" s="26"/>
      <c r="H46" s="82"/>
    </row>
    <row r="47" spans="1:9">
      <c r="A47" s="100"/>
      <c r="B47" s="135" t="s">
        <v>30</v>
      </c>
      <c r="C47" s="36">
        <f>C10*C11*D10*(0.001-0.00035)/0.4</f>
        <v>2.21</v>
      </c>
      <c r="D47" s="27">
        <f>F34</f>
        <v>54.726102581282873</v>
      </c>
      <c r="E47" s="33" t="s">
        <v>71</v>
      </c>
      <c r="F47" s="23"/>
      <c r="G47" s="26"/>
      <c r="H47" s="82"/>
    </row>
    <row r="48" spans="1:9">
      <c r="A48" s="100"/>
      <c r="B48" s="135" t="s">
        <v>13</v>
      </c>
      <c r="C48" s="36">
        <v>0</v>
      </c>
      <c r="D48" s="23"/>
      <c r="E48" s="23"/>
      <c r="F48" s="23"/>
      <c r="G48" s="26"/>
      <c r="H48" s="82"/>
    </row>
    <row r="49" spans="1:11" ht="14.4" thickBot="1">
      <c r="A49" s="128"/>
      <c r="B49" s="145" t="s">
        <v>72</v>
      </c>
      <c r="C49" s="134">
        <f>C21*D17+C31</f>
        <v>48</v>
      </c>
      <c r="D49" s="84">
        <f>H14*D10+H20*D17+G24*D17+H30+G34+G37</f>
        <v>72.081183383104104</v>
      </c>
      <c r="E49" s="83" t="s">
        <v>73</v>
      </c>
      <c r="F49" s="85"/>
      <c r="G49" s="83" t="s">
        <v>51</v>
      </c>
      <c r="H49" s="86">
        <f>H21*D17+H31</f>
        <v>7</v>
      </c>
      <c r="K49" s="12">
        <f>680*2</f>
        <v>1360</v>
      </c>
    </row>
    <row r="50" spans="1:11">
      <c r="A50" s="136" t="s">
        <v>65</v>
      </c>
      <c r="B50" s="142"/>
      <c r="C50" s="139"/>
      <c r="D50" s="87"/>
      <c r="E50" s="88">
        <v>1</v>
      </c>
      <c r="F50" s="81"/>
      <c r="G50" s="89"/>
      <c r="H50" s="90"/>
    </row>
    <row r="51" spans="1:11">
      <c r="A51" s="100" t="s">
        <v>74</v>
      </c>
      <c r="B51" s="141" t="s">
        <v>66</v>
      </c>
      <c r="C51" s="140" t="e">
        <f>E50*C44</f>
        <v>#DIV/0!</v>
      </c>
      <c r="D51" s="35">
        <f>D44*E50</f>
        <v>1085.2502312231129</v>
      </c>
      <c r="E51" s="36" t="s">
        <v>75</v>
      </c>
      <c r="F51" s="23"/>
      <c r="G51" s="23"/>
      <c r="H51" s="91"/>
    </row>
    <row r="52" spans="1:11">
      <c r="A52" s="137"/>
      <c r="B52" s="141" t="s">
        <v>68</v>
      </c>
      <c r="C52" s="140" t="e">
        <f>E50*C45</f>
        <v>#DIV/0!</v>
      </c>
      <c r="D52" s="35">
        <f>D45*E50</f>
        <v>138.59469374999998</v>
      </c>
      <c r="E52" s="36" t="s">
        <v>69</v>
      </c>
      <c r="F52" s="23"/>
      <c r="G52" s="27"/>
      <c r="H52" s="91"/>
    </row>
    <row r="53" spans="1:11">
      <c r="A53" s="137"/>
      <c r="B53" s="141" t="s">
        <v>16</v>
      </c>
      <c r="C53" s="140" t="e">
        <f>E50*C46</f>
        <v>#DIV/0!</v>
      </c>
      <c r="D53" s="35">
        <f>D46*E50</f>
        <v>57.747789062499997</v>
      </c>
      <c r="E53" s="36" t="s">
        <v>70</v>
      </c>
      <c r="F53" s="23"/>
      <c r="G53" s="27"/>
      <c r="H53" s="91"/>
    </row>
    <row r="54" spans="1:11">
      <c r="A54" s="137"/>
      <c r="B54" s="141" t="s">
        <v>30</v>
      </c>
      <c r="C54" s="140">
        <f>E50*C47</f>
        <v>2.21</v>
      </c>
      <c r="D54" s="35">
        <f>D47*E50</f>
        <v>54.726102581282873</v>
      </c>
      <c r="E54" s="36" t="s">
        <v>71</v>
      </c>
      <c r="F54" s="23"/>
      <c r="G54" s="27"/>
      <c r="H54" s="91"/>
    </row>
    <row r="55" spans="1:11">
      <c r="A55" s="137"/>
      <c r="B55" s="141" t="s">
        <v>13</v>
      </c>
      <c r="C55" s="140">
        <v>0</v>
      </c>
      <c r="D55" s="38"/>
      <c r="E55" s="39"/>
      <c r="F55" s="23"/>
      <c r="G55" s="27"/>
      <c r="H55" s="91"/>
    </row>
    <row r="56" spans="1:11" ht="14.4" thickBot="1">
      <c r="A56" s="138"/>
      <c r="B56" s="146" t="s">
        <v>72</v>
      </c>
      <c r="C56" s="148">
        <f>E50*C49</f>
        <v>48</v>
      </c>
      <c r="D56" s="92">
        <f>D49*E50</f>
        <v>72.081183383104104</v>
      </c>
      <c r="E56" s="93" t="s">
        <v>73</v>
      </c>
      <c r="F56" s="85"/>
      <c r="G56" s="84" t="s">
        <v>51</v>
      </c>
      <c r="H56" s="86">
        <f>H49*E50</f>
        <v>7</v>
      </c>
    </row>
    <row r="57" spans="1:11" hidden="1">
      <c r="A57" s="76" t="s">
        <v>65</v>
      </c>
      <c r="B57" s="77"/>
      <c r="C57" s="78"/>
      <c r="D57" s="41" t="s">
        <v>76</v>
      </c>
      <c r="E57" s="79">
        <v>8</v>
      </c>
      <c r="F57" s="41"/>
      <c r="G57" s="80"/>
      <c r="H57" s="78"/>
    </row>
    <row r="58" spans="1:11" hidden="1">
      <c r="A58" s="24" t="s">
        <v>74</v>
      </c>
      <c r="B58" s="34" t="s">
        <v>66</v>
      </c>
      <c r="C58" s="27">
        <v>15430</v>
      </c>
      <c r="D58" s="27">
        <f>D51</f>
        <v>1085.2502312231129</v>
      </c>
      <c r="E58" s="27" t="s">
        <v>77</v>
      </c>
      <c r="F58" s="23"/>
      <c r="G58" s="23"/>
      <c r="H58" s="27"/>
    </row>
    <row r="59" spans="1:11" hidden="1">
      <c r="A59" s="37"/>
      <c r="B59" s="34" t="s">
        <v>68</v>
      </c>
      <c r="C59" s="27">
        <v>1072</v>
      </c>
      <c r="D59" s="27">
        <f>D52</f>
        <v>138.59469374999998</v>
      </c>
      <c r="E59" s="27" t="s">
        <v>69</v>
      </c>
      <c r="F59" s="23"/>
      <c r="G59" s="27"/>
      <c r="H59" s="27"/>
    </row>
    <row r="60" spans="1:11" hidden="1">
      <c r="A60" s="37"/>
      <c r="B60" s="34" t="s">
        <v>16</v>
      </c>
      <c r="C60" s="27">
        <v>696</v>
      </c>
      <c r="D60" s="27">
        <f>D53</f>
        <v>57.747789062499997</v>
      </c>
      <c r="E60" s="27" t="s">
        <v>70</v>
      </c>
      <c r="F60" s="23"/>
      <c r="G60" s="27"/>
      <c r="H60" s="27"/>
    </row>
    <row r="61" spans="1:11" hidden="1">
      <c r="A61" s="37"/>
      <c r="B61" s="34" t="s">
        <v>30</v>
      </c>
      <c r="C61" s="27">
        <f>C54</f>
        <v>2.21</v>
      </c>
      <c r="D61" s="27">
        <f>D54</f>
        <v>54.726102581282873</v>
      </c>
      <c r="E61" s="27" t="s">
        <v>71</v>
      </c>
      <c r="F61" s="23"/>
      <c r="G61" s="27"/>
      <c r="H61" s="27"/>
    </row>
    <row r="62" spans="1:11" hidden="1">
      <c r="A62" s="37"/>
      <c r="B62" s="34" t="s">
        <v>13</v>
      </c>
      <c r="C62" s="27">
        <v>0</v>
      </c>
      <c r="D62" s="23"/>
      <c r="E62" s="23"/>
      <c r="F62" s="23"/>
      <c r="G62" s="27"/>
      <c r="H62" s="27"/>
    </row>
    <row r="63" spans="1:11" hidden="1">
      <c r="A63" s="40"/>
      <c r="B63" s="34" t="s">
        <v>72</v>
      </c>
      <c r="C63" s="27">
        <f>C56</f>
        <v>48</v>
      </c>
      <c r="D63" s="27">
        <f>D56</f>
        <v>72.081183383104104</v>
      </c>
      <c r="E63" s="27" t="s">
        <v>73</v>
      </c>
      <c r="F63" s="23"/>
      <c r="G63" s="27" t="s">
        <v>51</v>
      </c>
      <c r="H63" s="27">
        <f>H56</f>
        <v>7</v>
      </c>
    </row>
    <row r="65" spans="2:6" ht="14.4">
      <c r="B65" s="271"/>
      <c r="C65" s="271"/>
      <c r="D65" s="271"/>
      <c r="E65" s="271"/>
      <c r="F65" s="271"/>
    </row>
  </sheetData>
  <sheetProtection selectLockedCells="1" selectUnlockedCells="1"/>
  <mergeCells count="7">
    <mergeCell ref="B65:F65"/>
    <mergeCell ref="A3:E3"/>
    <mergeCell ref="A8:H8"/>
    <mergeCell ref="K9:L9"/>
    <mergeCell ref="E10:F10"/>
    <mergeCell ref="K15:L15"/>
    <mergeCell ref="I3:K3"/>
  </mergeCells>
  <pageMargins left="0.23622047244094491" right="0.23622047244094491" top="0.74803149606299213" bottom="0.74803149606299213" header="0.31496062992125984" footer="0.31496062992125984"/>
  <pageSetup paperSize="9" scale="78" firstPageNumber="0" orientation="portrait" r:id="rId1"/>
  <headerFooter alignWithMargins="0">
    <oddHeader>&amp;C&amp;"Times New Roman,Obișnuit"&amp;11&amp;F&amp;R&amp;"Times New Roman,Obișnuit"&amp;12Data: 26.09.2017</oddHeader>
    <oddFooter>&amp;L&amp;"Times New Roman,Obișnuit"&amp;12Sectie Productie Lingouri,
Chiru Dan&amp;CIntocmit,
Racasanu Georgeta&amp;R&amp;"Times New Roman,Obișnuit"&amp;12Birou Tehnic, Rusea Adrian
pg. &amp;P
Formular Cod:PGQ 036.F8.00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Q35"/>
  <sheetViews>
    <sheetView tabSelected="1" zoomScale="90" zoomScaleNormal="90" zoomScalePageLayoutView="80" workbookViewId="0">
      <selection activeCell="M26" sqref="M26"/>
    </sheetView>
  </sheetViews>
  <sheetFormatPr defaultColWidth="10.33203125" defaultRowHeight="14.85" customHeight="1"/>
  <cols>
    <col min="1" max="1" width="12" style="159" customWidth="1"/>
    <col min="2" max="2" width="16.77734375" style="159" customWidth="1"/>
    <col min="3" max="3" width="13.77734375" style="159" customWidth="1"/>
    <col min="4" max="4" width="12.44140625" style="159" customWidth="1"/>
    <col min="5" max="5" width="13.77734375" style="159" customWidth="1"/>
    <col min="6" max="6" width="12.44140625" style="159" customWidth="1"/>
    <col min="7" max="7" width="11.6640625" style="159" customWidth="1"/>
    <col min="8" max="8" width="10.33203125" style="159" customWidth="1"/>
    <col min="9" max="9" width="11.5546875" style="159" customWidth="1"/>
    <col min="10" max="11" width="11.6640625" style="159" customWidth="1"/>
    <col min="12" max="12" width="9" style="159" customWidth="1"/>
    <col min="13" max="16" width="10.33203125" style="159"/>
    <col min="17" max="17" width="0" style="159" hidden="1" customWidth="1"/>
    <col min="18" max="256" width="10.33203125" style="159"/>
    <col min="257" max="257" width="12" style="159" customWidth="1"/>
    <col min="258" max="258" width="16.77734375" style="159" customWidth="1"/>
    <col min="259" max="259" width="16" style="159" customWidth="1"/>
    <col min="260" max="260" width="12.44140625" style="159" customWidth="1"/>
    <col min="261" max="261" width="16.5546875" style="159" customWidth="1"/>
    <col min="262" max="262" width="12.44140625" style="159" customWidth="1"/>
    <col min="263" max="263" width="11.6640625" style="159" customWidth="1"/>
    <col min="264" max="264" width="10.33203125" style="159"/>
    <col min="265" max="265" width="11.5546875" style="159" customWidth="1"/>
    <col min="266" max="267" width="11.6640625" style="159" customWidth="1"/>
    <col min="268" max="268" width="9" style="159" customWidth="1"/>
    <col min="269" max="272" width="10.33203125" style="159"/>
    <col min="273" max="273" width="0" style="159" hidden="1" customWidth="1"/>
    <col min="274" max="512" width="10.33203125" style="159"/>
    <col min="513" max="513" width="12" style="159" customWidth="1"/>
    <col min="514" max="514" width="16.77734375" style="159" customWidth="1"/>
    <col min="515" max="515" width="16" style="159" customWidth="1"/>
    <col min="516" max="516" width="12.44140625" style="159" customWidth="1"/>
    <col min="517" max="517" width="16.5546875" style="159" customWidth="1"/>
    <col min="518" max="518" width="12.44140625" style="159" customWidth="1"/>
    <col min="519" max="519" width="11.6640625" style="159" customWidth="1"/>
    <col min="520" max="520" width="10.33203125" style="159"/>
    <col min="521" max="521" width="11.5546875" style="159" customWidth="1"/>
    <col min="522" max="523" width="11.6640625" style="159" customWidth="1"/>
    <col min="524" max="524" width="9" style="159" customWidth="1"/>
    <col min="525" max="528" width="10.33203125" style="159"/>
    <col min="529" max="529" width="0" style="159" hidden="1" customWidth="1"/>
    <col min="530" max="768" width="10.33203125" style="159"/>
    <col min="769" max="769" width="12" style="159" customWidth="1"/>
    <col min="770" max="770" width="16.77734375" style="159" customWidth="1"/>
    <col min="771" max="771" width="16" style="159" customWidth="1"/>
    <col min="772" max="772" width="12.44140625" style="159" customWidth="1"/>
    <col min="773" max="773" width="16.5546875" style="159" customWidth="1"/>
    <col min="774" max="774" width="12.44140625" style="159" customWidth="1"/>
    <col min="775" max="775" width="11.6640625" style="159" customWidth="1"/>
    <col min="776" max="776" width="10.33203125" style="159"/>
    <col min="777" max="777" width="11.5546875" style="159" customWidth="1"/>
    <col min="778" max="779" width="11.6640625" style="159" customWidth="1"/>
    <col min="780" max="780" width="9" style="159" customWidth="1"/>
    <col min="781" max="784" width="10.33203125" style="159"/>
    <col min="785" max="785" width="0" style="159" hidden="1" customWidth="1"/>
    <col min="786" max="1024" width="10.33203125" style="159"/>
    <col min="1025" max="1025" width="12" style="159" customWidth="1"/>
    <col min="1026" max="1026" width="16.77734375" style="159" customWidth="1"/>
    <col min="1027" max="1027" width="16" style="159" customWidth="1"/>
    <col min="1028" max="1028" width="12.44140625" style="159" customWidth="1"/>
    <col min="1029" max="1029" width="16.5546875" style="159" customWidth="1"/>
    <col min="1030" max="1030" width="12.44140625" style="159" customWidth="1"/>
    <col min="1031" max="1031" width="11.6640625" style="159" customWidth="1"/>
    <col min="1032" max="1032" width="10.33203125" style="159"/>
    <col min="1033" max="1033" width="11.5546875" style="159" customWidth="1"/>
    <col min="1034" max="1035" width="11.6640625" style="159" customWidth="1"/>
    <col min="1036" max="1036" width="9" style="159" customWidth="1"/>
    <col min="1037" max="1040" width="10.33203125" style="159"/>
    <col min="1041" max="1041" width="0" style="159" hidden="1" customWidth="1"/>
    <col min="1042" max="1280" width="10.33203125" style="159"/>
    <col min="1281" max="1281" width="12" style="159" customWidth="1"/>
    <col min="1282" max="1282" width="16.77734375" style="159" customWidth="1"/>
    <col min="1283" max="1283" width="16" style="159" customWidth="1"/>
    <col min="1284" max="1284" width="12.44140625" style="159" customWidth="1"/>
    <col min="1285" max="1285" width="16.5546875" style="159" customWidth="1"/>
    <col min="1286" max="1286" width="12.44140625" style="159" customWidth="1"/>
    <col min="1287" max="1287" width="11.6640625" style="159" customWidth="1"/>
    <col min="1288" max="1288" width="10.33203125" style="159"/>
    <col min="1289" max="1289" width="11.5546875" style="159" customWidth="1"/>
    <col min="1290" max="1291" width="11.6640625" style="159" customWidth="1"/>
    <col min="1292" max="1292" width="9" style="159" customWidth="1"/>
    <col min="1293" max="1296" width="10.33203125" style="159"/>
    <col min="1297" max="1297" width="0" style="159" hidden="1" customWidth="1"/>
    <col min="1298" max="1536" width="10.33203125" style="159"/>
    <col min="1537" max="1537" width="12" style="159" customWidth="1"/>
    <col min="1538" max="1538" width="16.77734375" style="159" customWidth="1"/>
    <col min="1539" max="1539" width="16" style="159" customWidth="1"/>
    <col min="1540" max="1540" width="12.44140625" style="159" customWidth="1"/>
    <col min="1541" max="1541" width="16.5546875" style="159" customWidth="1"/>
    <col min="1542" max="1542" width="12.44140625" style="159" customWidth="1"/>
    <col min="1543" max="1543" width="11.6640625" style="159" customWidth="1"/>
    <col min="1544" max="1544" width="10.33203125" style="159"/>
    <col min="1545" max="1545" width="11.5546875" style="159" customWidth="1"/>
    <col min="1546" max="1547" width="11.6640625" style="159" customWidth="1"/>
    <col min="1548" max="1548" width="9" style="159" customWidth="1"/>
    <col min="1549" max="1552" width="10.33203125" style="159"/>
    <col min="1553" max="1553" width="0" style="159" hidden="1" customWidth="1"/>
    <col min="1554" max="1792" width="10.33203125" style="159"/>
    <col min="1793" max="1793" width="12" style="159" customWidth="1"/>
    <col min="1794" max="1794" width="16.77734375" style="159" customWidth="1"/>
    <col min="1795" max="1795" width="16" style="159" customWidth="1"/>
    <col min="1796" max="1796" width="12.44140625" style="159" customWidth="1"/>
    <col min="1797" max="1797" width="16.5546875" style="159" customWidth="1"/>
    <col min="1798" max="1798" width="12.44140625" style="159" customWidth="1"/>
    <col min="1799" max="1799" width="11.6640625" style="159" customWidth="1"/>
    <col min="1800" max="1800" width="10.33203125" style="159"/>
    <col min="1801" max="1801" width="11.5546875" style="159" customWidth="1"/>
    <col min="1802" max="1803" width="11.6640625" style="159" customWidth="1"/>
    <col min="1804" max="1804" width="9" style="159" customWidth="1"/>
    <col min="1805" max="1808" width="10.33203125" style="159"/>
    <col min="1809" max="1809" width="0" style="159" hidden="1" customWidth="1"/>
    <col min="1810" max="2048" width="10.33203125" style="159"/>
    <col min="2049" max="2049" width="12" style="159" customWidth="1"/>
    <col min="2050" max="2050" width="16.77734375" style="159" customWidth="1"/>
    <col min="2051" max="2051" width="16" style="159" customWidth="1"/>
    <col min="2052" max="2052" width="12.44140625" style="159" customWidth="1"/>
    <col min="2053" max="2053" width="16.5546875" style="159" customWidth="1"/>
    <col min="2054" max="2054" width="12.44140625" style="159" customWidth="1"/>
    <col min="2055" max="2055" width="11.6640625" style="159" customWidth="1"/>
    <col min="2056" max="2056" width="10.33203125" style="159"/>
    <col min="2057" max="2057" width="11.5546875" style="159" customWidth="1"/>
    <col min="2058" max="2059" width="11.6640625" style="159" customWidth="1"/>
    <col min="2060" max="2060" width="9" style="159" customWidth="1"/>
    <col min="2061" max="2064" width="10.33203125" style="159"/>
    <col min="2065" max="2065" width="0" style="159" hidden="1" customWidth="1"/>
    <col min="2066" max="2304" width="10.33203125" style="159"/>
    <col min="2305" max="2305" width="12" style="159" customWidth="1"/>
    <col min="2306" max="2306" width="16.77734375" style="159" customWidth="1"/>
    <col min="2307" max="2307" width="16" style="159" customWidth="1"/>
    <col min="2308" max="2308" width="12.44140625" style="159" customWidth="1"/>
    <col min="2309" max="2309" width="16.5546875" style="159" customWidth="1"/>
    <col min="2310" max="2310" width="12.44140625" style="159" customWidth="1"/>
    <col min="2311" max="2311" width="11.6640625" style="159" customWidth="1"/>
    <col min="2312" max="2312" width="10.33203125" style="159"/>
    <col min="2313" max="2313" width="11.5546875" style="159" customWidth="1"/>
    <col min="2314" max="2315" width="11.6640625" style="159" customWidth="1"/>
    <col min="2316" max="2316" width="9" style="159" customWidth="1"/>
    <col min="2317" max="2320" width="10.33203125" style="159"/>
    <col min="2321" max="2321" width="0" style="159" hidden="1" customWidth="1"/>
    <col min="2322" max="2560" width="10.33203125" style="159"/>
    <col min="2561" max="2561" width="12" style="159" customWidth="1"/>
    <col min="2562" max="2562" width="16.77734375" style="159" customWidth="1"/>
    <col min="2563" max="2563" width="16" style="159" customWidth="1"/>
    <col min="2564" max="2564" width="12.44140625" style="159" customWidth="1"/>
    <col min="2565" max="2565" width="16.5546875" style="159" customWidth="1"/>
    <col min="2566" max="2566" width="12.44140625" style="159" customWidth="1"/>
    <col min="2567" max="2567" width="11.6640625" style="159" customWidth="1"/>
    <col min="2568" max="2568" width="10.33203125" style="159"/>
    <col min="2569" max="2569" width="11.5546875" style="159" customWidth="1"/>
    <col min="2570" max="2571" width="11.6640625" style="159" customWidth="1"/>
    <col min="2572" max="2572" width="9" style="159" customWidth="1"/>
    <col min="2573" max="2576" width="10.33203125" style="159"/>
    <col min="2577" max="2577" width="0" style="159" hidden="1" customWidth="1"/>
    <col min="2578" max="2816" width="10.33203125" style="159"/>
    <col min="2817" max="2817" width="12" style="159" customWidth="1"/>
    <col min="2818" max="2818" width="16.77734375" style="159" customWidth="1"/>
    <col min="2819" max="2819" width="16" style="159" customWidth="1"/>
    <col min="2820" max="2820" width="12.44140625" style="159" customWidth="1"/>
    <col min="2821" max="2821" width="16.5546875" style="159" customWidth="1"/>
    <col min="2822" max="2822" width="12.44140625" style="159" customWidth="1"/>
    <col min="2823" max="2823" width="11.6640625" style="159" customWidth="1"/>
    <col min="2824" max="2824" width="10.33203125" style="159"/>
    <col min="2825" max="2825" width="11.5546875" style="159" customWidth="1"/>
    <col min="2826" max="2827" width="11.6640625" style="159" customWidth="1"/>
    <col min="2828" max="2828" width="9" style="159" customWidth="1"/>
    <col min="2829" max="2832" width="10.33203125" style="159"/>
    <col min="2833" max="2833" width="0" style="159" hidden="1" customWidth="1"/>
    <col min="2834" max="3072" width="10.33203125" style="159"/>
    <col min="3073" max="3073" width="12" style="159" customWidth="1"/>
    <col min="3074" max="3074" width="16.77734375" style="159" customWidth="1"/>
    <col min="3075" max="3075" width="16" style="159" customWidth="1"/>
    <col min="3076" max="3076" width="12.44140625" style="159" customWidth="1"/>
    <col min="3077" max="3077" width="16.5546875" style="159" customWidth="1"/>
    <col min="3078" max="3078" width="12.44140625" style="159" customWidth="1"/>
    <col min="3079" max="3079" width="11.6640625" style="159" customWidth="1"/>
    <col min="3080" max="3080" width="10.33203125" style="159"/>
    <col min="3081" max="3081" width="11.5546875" style="159" customWidth="1"/>
    <col min="3082" max="3083" width="11.6640625" style="159" customWidth="1"/>
    <col min="3084" max="3084" width="9" style="159" customWidth="1"/>
    <col min="3085" max="3088" width="10.33203125" style="159"/>
    <col min="3089" max="3089" width="0" style="159" hidden="1" customWidth="1"/>
    <col min="3090" max="3328" width="10.33203125" style="159"/>
    <col min="3329" max="3329" width="12" style="159" customWidth="1"/>
    <col min="3330" max="3330" width="16.77734375" style="159" customWidth="1"/>
    <col min="3331" max="3331" width="16" style="159" customWidth="1"/>
    <col min="3332" max="3332" width="12.44140625" style="159" customWidth="1"/>
    <col min="3333" max="3333" width="16.5546875" style="159" customWidth="1"/>
    <col min="3334" max="3334" width="12.44140625" style="159" customWidth="1"/>
    <col min="3335" max="3335" width="11.6640625" style="159" customWidth="1"/>
    <col min="3336" max="3336" width="10.33203125" style="159"/>
    <col min="3337" max="3337" width="11.5546875" style="159" customWidth="1"/>
    <col min="3338" max="3339" width="11.6640625" style="159" customWidth="1"/>
    <col min="3340" max="3340" width="9" style="159" customWidth="1"/>
    <col min="3341" max="3344" width="10.33203125" style="159"/>
    <col min="3345" max="3345" width="0" style="159" hidden="1" customWidth="1"/>
    <col min="3346" max="3584" width="10.33203125" style="159"/>
    <col min="3585" max="3585" width="12" style="159" customWidth="1"/>
    <col min="3586" max="3586" width="16.77734375" style="159" customWidth="1"/>
    <col min="3587" max="3587" width="16" style="159" customWidth="1"/>
    <col min="3588" max="3588" width="12.44140625" style="159" customWidth="1"/>
    <col min="3589" max="3589" width="16.5546875" style="159" customWidth="1"/>
    <col min="3590" max="3590" width="12.44140625" style="159" customWidth="1"/>
    <col min="3591" max="3591" width="11.6640625" style="159" customWidth="1"/>
    <col min="3592" max="3592" width="10.33203125" style="159"/>
    <col min="3593" max="3593" width="11.5546875" style="159" customWidth="1"/>
    <col min="3594" max="3595" width="11.6640625" style="159" customWidth="1"/>
    <col min="3596" max="3596" width="9" style="159" customWidth="1"/>
    <col min="3597" max="3600" width="10.33203125" style="159"/>
    <col min="3601" max="3601" width="0" style="159" hidden="1" customWidth="1"/>
    <col min="3602" max="3840" width="10.33203125" style="159"/>
    <col min="3841" max="3841" width="12" style="159" customWidth="1"/>
    <col min="3842" max="3842" width="16.77734375" style="159" customWidth="1"/>
    <col min="3843" max="3843" width="16" style="159" customWidth="1"/>
    <col min="3844" max="3844" width="12.44140625" style="159" customWidth="1"/>
    <col min="3845" max="3845" width="16.5546875" style="159" customWidth="1"/>
    <col min="3846" max="3846" width="12.44140625" style="159" customWidth="1"/>
    <col min="3847" max="3847" width="11.6640625" style="159" customWidth="1"/>
    <col min="3848" max="3848" width="10.33203125" style="159"/>
    <col min="3849" max="3849" width="11.5546875" style="159" customWidth="1"/>
    <col min="3850" max="3851" width="11.6640625" style="159" customWidth="1"/>
    <col min="3852" max="3852" width="9" style="159" customWidth="1"/>
    <col min="3853" max="3856" width="10.33203125" style="159"/>
    <col min="3857" max="3857" width="0" style="159" hidden="1" customWidth="1"/>
    <col min="3858" max="4096" width="10.33203125" style="159"/>
    <col min="4097" max="4097" width="12" style="159" customWidth="1"/>
    <col min="4098" max="4098" width="16.77734375" style="159" customWidth="1"/>
    <col min="4099" max="4099" width="16" style="159" customWidth="1"/>
    <col min="4100" max="4100" width="12.44140625" style="159" customWidth="1"/>
    <col min="4101" max="4101" width="16.5546875" style="159" customWidth="1"/>
    <col min="4102" max="4102" width="12.44140625" style="159" customWidth="1"/>
    <col min="4103" max="4103" width="11.6640625" style="159" customWidth="1"/>
    <col min="4104" max="4104" width="10.33203125" style="159"/>
    <col min="4105" max="4105" width="11.5546875" style="159" customWidth="1"/>
    <col min="4106" max="4107" width="11.6640625" style="159" customWidth="1"/>
    <col min="4108" max="4108" width="9" style="159" customWidth="1"/>
    <col min="4109" max="4112" width="10.33203125" style="159"/>
    <col min="4113" max="4113" width="0" style="159" hidden="1" customWidth="1"/>
    <col min="4114" max="4352" width="10.33203125" style="159"/>
    <col min="4353" max="4353" width="12" style="159" customWidth="1"/>
    <col min="4354" max="4354" width="16.77734375" style="159" customWidth="1"/>
    <col min="4355" max="4355" width="16" style="159" customWidth="1"/>
    <col min="4356" max="4356" width="12.44140625" style="159" customWidth="1"/>
    <col min="4357" max="4357" width="16.5546875" style="159" customWidth="1"/>
    <col min="4358" max="4358" width="12.44140625" style="159" customWidth="1"/>
    <col min="4359" max="4359" width="11.6640625" style="159" customWidth="1"/>
    <col min="4360" max="4360" width="10.33203125" style="159"/>
    <col min="4361" max="4361" width="11.5546875" style="159" customWidth="1"/>
    <col min="4362" max="4363" width="11.6640625" style="159" customWidth="1"/>
    <col min="4364" max="4364" width="9" style="159" customWidth="1"/>
    <col min="4365" max="4368" width="10.33203125" style="159"/>
    <col min="4369" max="4369" width="0" style="159" hidden="1" customWidth="1"/>
    <col min="4370" max="4608" width="10.33203125" style="159"/>
    <col min="4609" max="4609" width="12" style="159" customWidth="1"/>
    <col min="4610" max="4610" width="16.77734375" style="159" customWidth="1"/>
    <col min="4611" max="4611" width="16" style="159" customWidth="1"/>
    <col min="4612" max="4612" width="12.44140625" style="159" customWidth="1"/>
    <col min="4613" max="4613" width="16.5546875" style="159" customWidth="1"/>
    <col min="4614" max="4614" width="12.44140625" style="159" customWidth="1"/>
    <col min="4615" max="4615" width="11.6640625" style="159" customWidth="1"/>
    <col min="4616" max="4616" width="10.33203125" style="159"/>
    <col min="4617" max="4617" width="11.5546875" style="159" customWidth="1"/>
    <col min="4618" max="4619" width="11.6640625" style="159" customWidth="1"/>
    <col min="4620" max="4620" width="9" style="159" customWidth="1"/>
    <col min="4621" max="4624" width="10.33203125" style="159"/>
    <col min="4625" max="4625" width="0" style="159" hidden="1" customWidth="1"/>
    <col min="4626" max="4864" width="10.33203125" style="159"/>
    <col min="4865" max="4865" width="12" style="159" customWidth="1"/>
    <col min="4866" max="4866" width="16.77734375" style="159" customWidth="1"/>
    <col min="4867" max="4867" width="16" style="159" customWidth="1"/>
    <col min="4868" max="4868" width="12.44140625" style="159" customWidth="1"/>
    <col min="4869" max="4869" width="16.5546875" style="159" customWidth="1"/>
    <col min="4870" max="4870" width="12.44140625" style="159" customWidth="1"/>
    <col min="4871" max="4871" width="11.6640625" style="159" customWidth="1"/>
    <col min="4872" max="4872" width="10.33203125" style="159"/>
    <col min="4873" max="4873" width="11.5546875" style="159" customWidth="1"/>
    <col min="4874" max="4875" width="11.6640625" style="159" customWidth="1"/>
    <col min="4876" max="4876" width="9" style="159" customWidth="1"/>
    <col min="4877" max="4880" width="10.33203125" style="159"/>
    <col min="4881" max="4881" width="0" style="159" hidden="1" customWidth="1"/>
    <col min="4882" max="5120" width="10.33203125" style="159"/>
    <col min="5121" max="5121" width="12" style="159" customWidth="1"/>
    <col min="5122" max="5122" width="16.77734375" style="159" customWidth="1"/>
    <col min="5123" max="5123" width="16" style="159" customWidth="1"/>
    <col min="5124" max="5124" width="12.44140625" style="159" customWidth="1"/>
    <col min="5125" max="5125" width="16.5546875" style="159" customWidth="1"/>
    <col min="5126" max="5126" width="12.44140625" style="159" customWidth="1"/>
    <col min="5127" max="5127" width="11.6640625" style="159" customWidth="1"/>
    <col min="5128" max="5128" width="10.33203125" style="159"/>
    <col min="5129" max="5129" width="11.5546875" style="159" customWidth="1"/>
    <col min="5130" max="5131" width="11.6640625" style="159" customWidth="1"/>
    <col min="5132" max="5132" width="9" style="159" customWidth="1"/>
    <col min="5133" max="5136" width="10.33203125" style="159"/>
    <col min="5137" max="5137" width="0" style="159" hidden="1" customWidth="1"/>
    <col min="5138" max="5376" width="10.33203125" style="159"/>
    <col min="5377" max="5377" width="12" style="159" customWidth="1"/>
    <col min="5378" max="5378" width="16.77734375" style="159" customWidth="1"/>
    <col min="5379" max="5379" width="16" style="159" customWidth="1"/>
    <col min="5380" max="5380" width="12.44140625" style="159" customWidth="1"/>
    <col min="5381" max="5381" width="16.5546875" style="159" customWidth="1"/>
    <col min="5382" max="5382" width="12.44140625" style="159" customWidth="1"/>
    <col min="5383" max="5383" width="11.6640625" style="159" customWidth="1"/>
    <col min="5384" max="5384" width="10.33203125" style="159"/>
    <col min="5385" max="5385" width="11.5546875" style="159" customWidth="1"/>
    <col min="5386" max="5387" width="11.6640625" style="159" customWidth="1"/>
    <col min="5388" max="5388" width="9" style="159" customWidth="1"/>
    <col min="5389" max="5392" width="10.33203125" style="159"/>
    <col min="5393" max="5393" width="0" style="159" hidden="1" customWidth="1"/>
    <col min="5394" max="5632" width="10.33203125" style="159"/>
    <col min="5633" max="5633" width="12" style="159" customWidth="1"/>
    <col min="5634" max="5634" width="16.77734375" style="159" customWidth="1"/>
    <col min="5635" max="5635" width="16" style="159" customWidth="1"/>
    <col min="5636" max="5636" width="12.44140625" style="159" customWidth="1"/>
    <col min="5637" max="5637" width="16.5546875" style="159" customWidth="1"/>
    <col min="5638" max="5638" width="12.44140625" style="159" customWidth="1"/>
    <col min="5639" max="5639" width="11.6640625" style="159" customWidth="1"/>
    <col min="5640" max="5640" width="10.33203125" style="159"/>
    <col min="5641" max="5641" width="11.5546875" style="159" customWidth="1"/>
    <col min="5642" max="5643" width="11.6640625" style="159" customWidth="1"/>
    <col min="5644" max="5644" width="9" style="159" customWidth="1"/>
    <col min="5645" max="5648" width="10.33203125" style="159"/>
    <col min="5649" max="5649" width="0" style="159" hidden="1" customWidth="1"/>
    <col min="5650" max="5888" width="10.33203125" style="159"/>
    <col min="5889" max="5889" width="12" style="159" customWidth="1"/>
    <col min="5890" max="5890" width="16.77734375" style="159" customWidth="1"/>
    <col min="5891" max="5891" width="16" style="159" customWidth="1"/>
    <col min="5892" max="5892" width="12.44140625" style="159" customWidth="1"/>
    <col min="5893" max="5893" width="16.5546875" style="159" customWidth="1"/>
    <col min="5894" max="5894" width="12.44140625" style="159" customWidth="1"/>
    <col min="5895" max="5895" width="11.6640625" style="159" customWidth="1"/>
    <col min="5896" max="5896" width="10.33203125" style="159"/>
    <col min="5897" max="5897" width="11.5546875" style="159" customWidth="1"/>
    <col min="5898" max="5899" width="11.6640625" style="159" customWidth="1"/>
    <col min="5900" max="5900" width="9" style="159" customWidth="1"/>
    <col min="5901" max="5904" width="10.33203125" style="159"/>
    <col min="5905" max="5905" width="0" style="159" hidden="1" customWidth="1"/>
    <col min="5906" max="6144" width="10.33203125" style="159"/>
    <col min="6145" max="6145" width="12" style="159" customWidth="1"/>
    <col min="6146" max="6146" width="16.77734375" style="159" customWidth="1"/>
    <col min="6147" max="6147" width="16" style="159" customWidth="1"/>
    <col min="6148" max="6148" width="12.44140625" style="159" customWidth="1"/>
    <col min="6149" max="6149" width="16.5546875" style="159" customWidth="1"/>
    <col min="6150" max="6150" width="12.44140625" style="159" customWidth="1"/>
    <col min="6151" max="6151" width="11.6640625" style="159" customWidth="1"/>
    <col min="6152" max="6152" width="10.33203125" style="159"/>
    <col min="6153" max="6153" width="11.5546875" style="159" customWidth="1"/>
    <col min="6154" max="6155" width="11.6640625" style="159" customWidth="1"/>
    <col min="6156" max="6156" width="9" style="159" customWidth="1"/>
    <col min="6157" max="6160" width="10.33203125" style="159"/>
    <col min="6161" max="6161" width="0" style="159" hidden="1" customWidth="1"/>
    <col min="6162" max="6400" width="10.33203125" style="159"/>
    <col min="6401" max="6401" width="12" style="159" customWidth="1"/>
    <col min="6402" max="6402" width="16.77734375" style="159" customWidth="1"/>
    <col min="6403" max="6403" width="16" style="159" customWidth="1"/>
    <col min="6404" max="6404" width="12.44140625" style="159" customWidth="1"/>
    <col min="6405" max="6405" width="16.5546875" style="159" customWidth="1"/>
    <col min="6406" max="6406" width="12.44140625" style="159" customWidth="1"/>
    <col min="6407" max="6407" width="11.6640625" style="159" customWidth="1"/>
    <col min="6408" max="6408" width="10.33203125" style="159"/>
    <col min="6409" max="6409" width="11.5546875" style="159" customWidth="1"/>
    <col min="6410" max="6411" width="11.6640625" style="159" customWidth="1"/>
    <col min="6412" max="6412" width="9" style="159" customWidth="1"/>
    <col min="6413" max="6416" width="10.33203125" style="159"/>
    <col min="6417" max="6417" width="0" style="159" hidden="1" customWidth="1"/>
    <col min="6418" max="6656" width="10.33203125" style="159"/>
    <col min="6657" max="6657" width="12" style="159" customWidth="1"/>
    <col min="6658" max="6658" width="16.77734375" style="159" customWidth="1"/>
    <col min="6659" max="6659" width="16" style="159" customWidth="1"/>
    <col min="6660" max="6660" width="12.44140625" style="159" customWidth="1"/>
    <col min="6661" max="6661" width="16.5546875" style="159" customWidth="1"/>
    <col min="6662" max="6662" width="12.44140625" style="159" customWidth="1"/>
    <col min="6663" max="6663" width="11.6640625" style="159" customWidth="1"/>
    <col min="6664" max="6664" width="10.33203125" style="159"/>
    <col min="6665" max="6665" width="11.5546875" style="159" customWidth="1"/>
    <col min="6666" max="6667" width="11.6640625" style="159" customWidth="1"/>
    <col min="6668" max="6668" width="9" style="159" customWidth="1"/>
    <col min="6669" max="6672" width="10.33203125" style="159"/>
    <col min="6673" max="6673" width="0" style="159" hidden="1" customWidth="1"/>
    <col min="6674" max="6912" width="10.33203125" style="159"/>
    <col min="6913" max="6913" width="12" style="159" customWidth="1"/>
    <col min="6914" max="6914" width="16.77734375" style="159" customWidth="1"/>
    <col min="6915" max="6915" width="16" style="159" customWidth="1"/>
    <col min="6916" max="6916" width="12.44140625" style="159" customWidth="1"/>
    <col min="6917" max="6917" width="16.5546875" style="159" customWidth="1"/>
    <col min="6918" max="6918" width="12.44140625" style="159" customWidth="1"/>
    <col min="6919" max="6919" width="11.6640625" style="159" customWidth="1"/>
    <col min="6920" max="6920" width="10.33203125" style="159"/>
    <col min="6921" max="6921" width="11.5546875" style="159" customWidth="1"/>
    <col min="6922" max="6923" width="11.6640625" style="159" customWidth="1"/>
    <col min="6924" max="6924" width="9" style="159" customWidth="1"/>
    <col min="6925" max="6928" width="10.33203125" style="159"/>
    <col min="6929" max="6929" width="0" style="159" hidden="1" customWidth="1"/>
    <col min="6930" max="7168" width="10.33203125" style="159"/>
    <col min="7169" max="7169" width="12" style="159" customWidth="1"/>
    <col min="7170" max="7170" width="16.77734375" style="159" customWidth="1"/>
    <col min="7171" max="7171" width="16" style="159" customWidth="1"/>
    <col min="7172" max="7172" width="12.44140625" style="159" customWidth="1"/>
    <col min="7173" max="7173" width="16.5546875" style="159" customWidth="1"/>
    <col min="7174" max="7174" width="12.44140625" style="159" customWidth="1"/>
    <col min="7175" max="7175" width="11.6640625" style="159" customWidth="1"/>
    <col min="7176" max="7176" width="10.33203125" style="159"/>
    <col min="7177" max="7177" width="11.5546875" style="159" customWidth="1"/>
    <col min="7178" max="7179" width="11.6640625" style="159" customWidth="1"/>
    <col min="7180" max="7180" width="9" style="159" customWidth="1"/>
    <col min="7181" max="7184" width="10.33203125" style="159"/>
    <col min="7185" max="7185" width="0" style="159" hidden="1" customWidth="1"/>
    <col min="7186" max="7424" width="10.33203125" style="159"/>
    <col min="7425" max="7425" width="12" style="159" customWidth="1"/>
    <col min="7426" max="7426" width="16.77734375" style="159" customWidth="1"/>
    <col min="7427" max="7427" width="16" style="159" customWidth="1"/>
    <col min="7428" max="7428" width="12.44140625" style="159" customWidth="1"/>
    <col min="7429" max="7429" width="16.5546875" style="159" customWidth="1"/>
    <col min="7430" max="7430" width="12.44140625" style="159" customWidth="1"/>
    <col min="7431" max="7431" width="11.6640625" style="159" customWidth="1"/>
    <col min="7432" max="7432" width="10.33203125" style="159"/>
    <col min="7433" max="7433" width="11.5546875" style="159" customWidth="1"/>
    <col min="7434" max="7435" width="11.6640625" style="159" customWidth="1"/>
    <col min="7436" max="7436" width="9" style="159" customWidth="1"/>
    <col min="7437" max="7440" width="10.33203125" style="159"/>
    <col min="7441" max="7441" width="0" style="159" hidden="1" customWidth="1"/>
    <col min="7442" max="7680" width="10.33203125" style="159"/>
    <col min="7681" max="7681" width="12" style="159" customWidth="1"/>
    <col min="7682" max="7682" width="16.77734375" style="159" customWidth="1"/>
    <col min="7683" max="7683" width="16" style="159" customWidth="1"/>
    <col min="7684" max="7684" width="12.44140625" style="159" customWidth="1"/>
    <col min="7685" max="7685" width="16.5546875" style="159" customWidth="1"/>
    <col min="7686" max="7686" width="12.44140625" style="159" customWidth="1"/>
    <col min="7687" max="7687" width="11.6640625" style="159" customWidth="1"/>
    <col min="7688" max="7688" width="10.33203125" style="159"/>
    <col min="7689" max="7689" width="11.5546875" style="159" customWidth="1"/>
    <col min="7690" max="7691" width="11.6640625" style="159" customWidth="1"/>
    <col min="7692" max="7692" width="9" style="159" customWidth="1"/>
    <col min="7693" max="7696" width="10.33203125" style="159"/>
    <col min="7697" max="7697" width="0" style="159" hidden="1" customWidth="1"/>
    <col min="7698" max="7936" width="10.33203125" style="159"/>
    <col min="7937" max="7937" width="12" style="159" customWidth="1"/>
    <col min="7938" max="7938" width="16.77734375" style="159" customWidth="1"/>
    <col min="7939" max="7939" width="16" style="159" customWidth="1"/>
    <col min="7940" max="7940" width="12.44140625" style="159" customWidth="1"/>
    <col min="7941" max="7941" width="16.5546875" style="159" customWidth="1"/>
    <col min="7942" max="7942" width="12.44140625" style="159" customWidth="1"/>
    <col min="7943" max="7943" width="11.6640625" style="159" customWidth="1"/>
    <col min="7944" max="7944" width="10.33203125" style="159"/>
    <col min="7945" max="7945" width="11.5546875" style="159" customWidth="1"/>
    <col min="7946" max="7947" width="11.6640625" style="159" customWidth="1"/>
    <col min="7948" max="7948" width="9" style="159" customWidth="1"/>
    <col min="7949" max="7952" width="10.33203125" style="159"/>
    <col min="7953" max="7953" width="0" style="159" hidden="1" customWidth="1"/>
    <col min="7954" max="8192" width="10.33203125" style="159"/>
    <col min="8193" max="8193" width="12" style="159" customWidth="1"/>
    <col min="8194" max="8194" width="16.77734375" style="159" customWidth="1"/>
    <col min="8195" max="8195" width="16" style="159" customWidth="1"/>
    <col min="8196" max="8196" width="12.44140625" style="159" customWidth="1"/>
    <col min="8197" max="8197" width="16.5546875" style="159" customWidth="1"/>
    <col min="8198" max="8198" width="12.44140625" style="159" customWidth="1"/>
    <col min="8199" max="8199" width="11.6640625" style="159" customWidth="1"/>
    <col min="8200" max="8200" width="10.33203125" style="159"/>
    <col min="8201" max="8201" width="11.5546875" style="159" customWidth="1"/>
    <col min="8202" max="8203" width="11.6640625" style="159" customWidth="1"/>
    <col min="8204" max="8204" width="9" style="159" customWidth="1"/>
    <col min="8205" max="8208" width="10.33203125" style="159"/>
    <col min="8209" max="8209" width="0" style="159" hidden="1" customWidth="1"/>
    <col min="8210" max="8448" width="10.33203125" style="159"/>
    <col min="8449" max="8449" width="12" style="159" customWidth="1"/>
    <col min="8450" max="8450" width="16.77734375" style="159" customWidth="1"/>
    <col min="8451" max="8451" width="16" style="159" customWidth="1"/>
    <col min="8452" max="8452" width="12.44140625" style="159" customWidth="1"/>
    <col min="8453" max="8453" width="16.5546875" style="159" customWidth="1"/>
    <col min="8454" max="8454" width="12.44140625" style="159" customWidth="1"/>
    <col min="8455" max="8455" width="11.6640625" style="159" customWidth="1"/>
    <col min="8456" max="8456" width="10.33203125" style="159"/>
    <col min="8457" max="8457" width="11.5546875" style="159" customWidth="1"/>
    <col min="8458" max="8459" width="11.6640625" style="159" customWidth="1"/>
    <col min="8460" max="8460" width="9" style="159" customWidth="1"/>
    <col min="8461" max="8464" width="10.33203125" style="159"/>
    <col min="8465" max="8465" width="0" style="159" hidden="1" customWidth="1"/>
    <col min="8466" max="8704" width="10.33203125" style="159"/>
    <col min="8705" max="8705" width="12" style="159" customWidth="1"/>
    <col min="8706" max="8706" width="16.77734375" style="159" customWidth="1"/>
    <col min="8707" max="8707" width="16" style="159" customWidth="1"/>
    <col min="8708" max="8708" width="12.44140625" style="159" customWidth="1"/>
    <col min="8709" max="8709" width="16.5546875" style="159" customWidth="1"/>
    <col min="8710" max="8710" width="12.44140625" style="159" customWidth="1"/>
    <col min="8711" max="8711" width="11.6640625" style="159" customWidth="1"/>
    <col min="8712" max="8712" width="10.33203125" style="159"/>
    <col min="8713" max="8713" width="11.5546875" style="159" customWidth="1"/>
    <col min="8714" max="8715" width="11.6640625" style="159" customWidth="1"/>
    <col min="8716" max="8716" width="9" style="159" customWidth="1"/>
    <col min="8717" max="8720" width="10.33203125" style="159"/>
    <col min="8721" max="8721" width="0" style="159" hidden="1" customWidth="1"/>
    <col min="8722" max="8960" width="10.33203125" style="159"/>
    <col min="8961" max="8961" width="12" style="159" customWidth="1"/>
    <col min="8962" max="8962" width="16.77734375" style="159" customWidth="1"/>
    <col min="8963" max="8963" width="16" style="159" customWidth="1"/>
    <col min="8964" max="8964" width="12.44140625" style="159" customWidth="1"/>
    <col min="8965" max="8965" width="16.5546875" style="159" customWidth="1"/>
    <col min="8966" max="8966" width="12.44140625" style="159" customWidth="1"/>
    <col min="8967" max="8967" width="11.6640625" style="159" customWidth="1"/>
    <col min="8968" max="8968" width="10.33203125" style="159"/>
    <col min="8969" max="8969" width="11.5546875" style="159" customWidth="1"/>
    <col min="8970" max="8971" width="11.6640625" style="159" customWidth="1"/>
    <col min="8972" max="8972" width="9" style="159" customWidth="1"/>
    <col min="8973" max="8976" width="10.33203125" style="159"/>
    <col min="8977" max="8977" width="0" style="159" hidden="1" customWidth="1"/>
    <col min="8978" max="9216" width="10.33203125" style="159"/>
    <col min="9217" max="9217" width="12" style="159" customWidth="1"/>
    <col min="9218" max="9218" width="16.77734375" style="159" customWidth="1"/>
    <col min="9219" max="9219" width="16" style="159" customWidth="1"/>
    <col min="9220" max="9220" width="12.44140625" style="159" customWidth="1"/>
    <col min="9221" max="9221" width="16.5546875" style="159" customWidth="1"/>
    <col min="9222" max="9222" width="12.44140625" style="159" customWidth="1"/>
    <col min="9223" max="9223" width="11.6640625" style="159" customWidth="1"/>
    <col min="9224" max="9224" width="10.33203125" style="159"/>
    <col min="9225" max="9225" width="11.5546875" style="159" customWidth="1"/>
    <col min="9226" max="9227" width="11.6640625" style="159" customWidth="1"/>
    <col min="9228" max="9228" width="9" style="159" customWidth="1"/>
    <col min="9229" max="9232" width="10.33203125" style="159"/>
    <col min="9233" max="9233" width="0" style="159" hidden="1" customWidth="1"/>
    <col min="9234" max="9472" width="10.33203125" style="159"/>
    <col min="9473" max="9473" width="12" style="159" customWidth="1"/>
    <col min="9474" max="9474" width="16.77734375" style="159" customWidth="1"/>
    <col min="9475" max="9475" width="16" style="159" customWidth="1"/>
    <col min="9476" max="9476" width="12.44140625" style="159" customWidth="1"/>
    <col min="9477" max="9477" width="16.5546875" style="159" customWidth="1"/>
    <col min="9478" max="9478" width="12.44140625" style="159" customWidth="1"/>
    <col min="9479" max="9479" width="11.6640625" style="159" customWidth="1"/>
    <col min="9480" max="9480" width="10.33203125" style="159"/>
    <col min="9481" max="9481" width="11.5546875" style="159" customWidth="1"/>
    <col min="9482" max="9483" width="11.6640625" style="159" customWidth="1"/>
    <col min="9484" max="9484" width="9" style="159" customWidth="1"/>
    <col min="9485" max="9488" width="10.33203125" style="159"/>
    <col min="9489" max="9489" width="0" style="159" hidden="1" customWidth="1"/>
    <col min="9490" max="9728" width="10.33203125" style="159"/>
    <col min="9729" max="9729" width="12" style="159" customWidth="1"/>
    <col min="9730" max="9730" width="16.77734375" style="159" customWidth="1"/>
    <col min="9731" max="9731" width="16" style="159" customWidth="1"/>
    <col min="9732" max="9732" width="12.44140625" style="159" customWidth="1"/>
    <col min="9733" max="9733" width="16.5546875" style="159" customWidth="1"/>
    <col min="9734" max="9734" width="12.44140625" style="159" customWidth="1"/>
    <col min="9735" max="9735" width="11.6640625" style="159" customWidth="1"/>
    <col min="9736" max="9736" width="10.33203125" style="159"/>
    <col min="9737" max="9737" width="11.5546875" style="159" customWidth="1"/>
    <col min="9738" max="9739" width="11.6640625" style="159" customWidth="1"/>
    <col min="9740" max="9740" width="9" style="159" customWidth="1"/>
    <col min="9741" max="9744" width="10.33203125" style="159"/>
    <col min="9745" max="9745" width="0" style="159" hidden="1" customWidth="1"/>
    <col min="9746" max="9984" width="10.33203125" style="159"/>
    <col min="9985" max="9985" width="12" style="159" customWidth="1"/>
    <col min="9986" max="9986" width="16.77734375" style="159" customWidth="1"/>
    <col min="9987" max="9987" width="16" style="159" customWidth="1"/>
    <col min="9988" max="9988" width="12.44140625" style="159" customWidth="1"/>
    <col min="9989" max="9989" width="16.5546875" style="159" customWidth="1"/>
    <col min="9990" max="9990" width="12.44140625" style="159" customWidth="1"/>
    <col min="9991" max="9991" width="11.6640625" style="159" customWidth="1"/>
    <col min="9992" max="9992" width="10.33203125" style="159"/>
    <col min="9993" max="9993" width="11.5546875" style="159" customWidth="1"/>
    <col min="9994" max="9995" width="11.6640625" style="159" customWidth="1"/>
    <col min="9996" max="9996" width="9" style="159" customWidth="1"/>
    <col min="9997" max="10000" width="10.33203125" style="159"/>
    <col min="10001" max="10001" width="0" style="159" hidden="1" customWidth="1"/>
    <col min="10002" max="10240" width="10.33203125" style="159"/>
    <col min="10241" max="10241" width="12" style="159" customWidth="1"/>
    <col min="10242" max="10242" width="16.77734375" style="159" customWidth="1"/>
    <col min="10243" max="10243" width="16" style="159" customWidth="1"/>
    <col min="10244" max="10244" width="12.44140625" style="159" customWidth="1"/>
    <col min="10245" max="10245" width="16.5546875" style="159" customWidth="1"/>
    <col min="10246" max="10246" width="12.44140625" style="159" customWidth="1"/>
    <col min="10247" max="10247" width="11.6640625" style="159" customWidth="1"/>
    <col min="10248" max="10248" width="10.33203125" style="159"/>
    <col min="10249" max="10249" width="11.5546875" style="159" customWidth="1"/>
    <col min="10250" max="10251" width="11.6640625" style="159" customWidth="1"/>
    <col min="10252" max="10252" width="9" style="159" customWidth="1"/>
    <col min="10253" max="10256" width="10.33203125" style="159"/>
    <col min="10257" max="10257" width="0" style="159" hidden="1" customWidth="1"/>
    <col min="10258" max="10496" width="10.33203125" style="159"/>
    <col min="10497" max="10497" width="12" style="159" customWidth="1"/>
    <col min="10498" max="10498" width="16.77734375" style="159" customWidth="1"/>
    <col min="10499" max="10499" width="16" style="159" customWidth="1"/>
    <col min="10500" max="10500" width="12.44140625" style="159" customWidth="1"/>
    <col min="10501" max="10501" width="16.5546875" style="159" customWidth="1"/>
    <col min="10502" max="10502" width="12.44140625" style="159" customWidth="1"/>
    <col min="10503" max="10503" width="11.6640625" style="159" customWidth="1"/>
    <col min="10504" max="10504" width="10.33203125" style="159"/>
    <col min="10505" max="10505" width="11.5546875" style="159" customWidth="1"/>
    <col min="10506" max="10507" width="11.6640625" style="159" customWidth="1"/>
    <col min="10508" max="10508" width="9" style="159" customWidth="1"/>
    <col min="10509" max="10512" width="10.33203125" style="159"/>
    <col min="10513" max="10513" width="0" style="159" hidden="1" customWidth="1"/>
    <col min="10514" max="10752" width="10.33203125" style="159"/>
    <col min="10753" max="10753" width="12" style="159" customWidth="1"/>
    <col min="10754" max="10754" width="16.77734375" style="159" customWidth="1"/>
    <col min="10755" max="10755" width="16" style="159" customWidth="1"/>
    <col min="10756" max="10756" width="12.44140625" style="159" customWidth="1"/>
    <col min="10757" max="10757" width="16.5546875" style="159" customWidth="1"/>
    <col min="10758" max="10758" width="12.44140625" style="159" customWidth="1"/>
    <col min="10759" max="10759" width="11.6640625" style="159" customWidth="1"/>
    <col min="10760" max="10760" width="10.33203125" style="159"/>
    <col min="10761" max="10761" width="11.5546875" style="159" customWidth="1"/>
    <col min="10762" max="10763" width="11.6640625" style="159" customWidth="1"/>
    <col min="10764" max="10764" width="9" style="159" customWidth="1"/>
    <col min="10765" max="10768" width="10.33203125" style="159"/>
    <col min="10769" max="10769" width="0" style="159" hidden="1" customWidth="1"/>
    <col min="10770" max="11008" width="10.33203125" style="159"/>
    <col min="11009" max="11009" width="12" style="159" customWidth="1"/>
    <col min="11010" max="11010" width="16.77734375" style="159" customWidth="1"/>
    <col min="11011" max="11011" width="16" style="159" customWidth="1"/>
    <col min="11012" max="11012" width="12.44140625" style="159" customWidth="1"/>
    <col min="11013" max="11013" width="16.5546875" style="159" customWidth="1"/>
    <col min="11014" max="11014" width="12.44140625" style="159" customWidth="1"/>
    <col min="11015" max="11015" width="11.6640625" style="159" customWidth="1"/>
    <col min="11016" max="11016" width="10.33203125" style="159"/>
    <col min="11017" max="11017" width="11.5546875" style="159" customWidth="1"/>
    <col min="11018" max="11019" width="11.6640625" style="159" customWidth="1"/>
    <col min="11020" max="11020" width="9" style="159" customWidth="1"/>
    <col min="11021" max="11024" width="10.33203125" style="159"/>
    <col min="11025" max="11025" width="0" style="159" hidden="1" customWidth="1"/>
    <col min="11026" max="11264" width="10.33203125" style="159"/>
    <col min="11265" max="11265" width="12" style="159" customWidth="1"/>
    <col min="11266" max="11266" width="16.77734375" style="159" customWidth="1"/>
    <col min="11267" max="11267" width="16" style="159" customWidth="1"/>
    <col min="11268" max="11268" width="12.44140625" style="159" customWidth="1"/>
    <col min="11269" max="11269" width="16.5546875" style="159" customWidth="1"/>
    <col min="11270" max="11270" width="12.44140625" style="159" customWidth="1"/>
    <col min="11271" max="11271" width="11.6640625" style="159" customWidth="1"/>
    <col min="11272" max="11272" width="10.33203125" style="159"/>
    <col min="11273" max="11273" width="11.5546875" style="159" customWidth="1"/>
    <col min="11274" max="11275" width="11.6640625" style="159" customWidth="1"/>
    <col min="11276" max="11276" width="9" style="159" customWidth="1"/>
    <col min="11277" max="11280" width="10.33203125" style="159"/>
    <col min="11281" max="11281" width="0" style="159" hidden="1" customWidth="1"/>
    <col min="11282" max="11520" width="10.33203125" style="159"/>
    <col min="11521" max="11521" width="12" style="159" customWidth="1"/>
    <col min="11522" max="11522" width="16.77734375" style="159" customWidth="1"/>
    <col min="11523" max="11523" width="16" style="159" customWidth="1"/>
    <col min="11524" max="11524" width="12.44140625" style="159" customWidth="1"/>
    <col min="11525" max="11525" width="16.5546875" style="159" customWidth="1"/>
    <col min="11526" max="11526" width="12.44140625" style="159" customWidth="1"/>
    <col min="11527" max="11527" width="11.6640625" style="159" customWidth="1"/>
    <col min="11528" max="11528" width="10.33203125" style="159"/>
    <col min="11529" max="11529" width="11.5546875" style="159" customWidth="1"/>
    <col min="11530" max="11531" width="11.6640625" style="159" customWidth="1"/>
    <col min="11532" max="11532" width="9" style="159" customWidth="1"/>
    <col min="11533" max="11536" width="10.33203125" style="159"/>
    <col min="11537" max="11537" width="0" style="159" hidden="1" customWidth="1"/>
    <col min="11538" max="11776" width="10.33203125" style="159"/>
    <col min="11777" max="11777" width="12" style="159" customWidth="1"/>
    <col min="11778" max="11778" width="16.77734375" style="159" customWidth="1"/>
    <col min="11779" max="11779" width="16" style="159" customWidth="1"/>
    <col min="11780" max="11780" width="12.44140625" style="159" customWidth="1"/>
    <col min="11781" max="11781" width="16.5546875" style="159" customWidth="1"/>
    <col min="11782" max="11782" width="12.44140625" style="159" customWidth="1"/>
    <col min="11783" max="11783" width="11.6640625" style="159" customWidth="1"/>
    <col min="11784" max="11784" width="10.33203125" style="159"/>
    <col min="11785" max="11785" width="11.5546875" style="159" customWidth="1"/>
    <col min="11786" max="11787" width="11.6640625" style="159" customWidth="1"/>
    <col min="11788" max="11788" width="9" style="159" customWidth="1"/>
    <col min="11789" max="11792" width="10.33203125" style="159"/>
    <col min="11793" max="11793" width="0" style="159" hidden="1" customWidth="1"/>
    <col min="11794" max="12032" width="10.33203125" style="159"/>
    <col min="12033" max="12033" width="12" style="159" customWidth="1"/>
    <col min="12034" max="12034" width="16.77734375" style="159" customWidth="1"/>
    <col min="12035" max="12035" width="16" style="159" customWidth="1"/>
    <col min="12036" max="12036" width="12.44140625" style="159" customWidth="1"/>
    <col min="12037" max="12037" width="16.5546875" style="159" customWidth="1"/>
    <col min="12038" max="12038" width="12.44140625" style="159" customWidth="1"/>
    <col min="12039" max="12039" width="11.6640625" style="159" customWidth="1"/>
    <col min="12040" max="12040" width="10.33203125" style="159"/>
    <col min="12041" max="12041" width="11.5546875" style="159" customWidth="1"/>
    <col min="12042" max="12043" width="11.6640625" style="159" customWidth="1"/>
    <col min="12044" max="12044" width="9" style="159" customWidth="1"/>
    <col min="12045" max="12048" width="10.33203125" style="159"/>
    <col min="12049" max="12049" width="0" style="159" hidden="1" customWidth="1"/>
    <col min="12050" max="12288" width="10.33203125" style="159"/>
    <col min="12289" max="12289" width="12" style="159" customWidth="1"/>
    <col min="12290" max="12290" width="16.77734375" style="159" customWidth="1"/>
    <col min="12291" max="12291" width="16" style="159" customWidth="1"/>
    <col min="12292" max="12292" width="12.44140625" style="159" customWidth="1"/>
    <col min="12293" max="12293" width="16.5546875" style="159" customWidth="1"/>
    <col min="12294" max="12294" width="12.44140625" style="159" customWidth="1"/>
    <col min="12295" max="12295" width="11.6640625" style="159" customWidth="1"/>
    <col min="12296" max="12296" width="10.33203125" style="159"/>
    <col min="12297" max="12297" width="11.5546875" style="159" customWidth="1"/>
    <col min="12298" max="12299" width="11.6640625" style="159" customWidth="1"/>
    <col min="12300" max="12300" width="9" style="159" customWidth="1"/>
    <col min="12301" max="12304" width="10.33203125" style="159"/>
    <col min="12305" max="12305" width="0" style="159" hidden="1" customWidth="1"/>
    <col min="12306" max="12544" width="10.33203125" style="159"/>
    <col min="12545" max="12545" width="12" style="159" customWidth="1"/>
    <col min="12546" max="12546" width="16.77734375" style="159" customWidth="1"/>
    <col min="12547" max="12547" width="16" style="159" customWidth="1"/>
    <col min="12548" max="12548" width="12.44140625" style="159" customWidth="1"/>
    <col min="12549" max="12549" width="16.5546875" style="159" customWidth="1"/>
    <col min="12550" max="12550" width="12.44140625" style="159" customWidth="1"/>
    <col min="12551" max="12551" width="11.6640625" style="159" customWidth="1"/>
    <col min="12552" max="12552" width="10.33203125" style="159"/>
    <col min="12553" max="12553" width="11.5546875" style="159" customWidth="1"/>
    <col min="12554" max="12555" width="11.6640625" style="159" customWidth="1"/>
    <col min="12556" max="12556" width="9" style="159" customWidth="1"/>
    <col min="12557" max="12560" width="10.33203125" style="159"/>
    <col min="12561" max="12561" width="0" style="159" hidden="1" customWidth="1"/>
    <col min="12562" max="12800" width="10.33203125" style="159"/>
    <col min="12801" max="12801" width="12" style="159" customWidth="1"/>
    <col min="12802" max="12802" width="16.77734375" style="159" customWidth="1"/>
    <col min="12803" max="12803" width="16" style="159" customWidth="1"/>
    <col min="12804" max="12804" width="12.44140625" style="159" customWidth="1"/>
    <col min="12805" max="12805" width="16.5546875" style="159" customWidth="1"/>
    <col min="12806" max="12806" width="12.44140625" style="159" customWidth="1"/>
    <col min="12807" max="12807" width="11.6640625" style="159" customWidth="1"/>
    <col min="12808" max="12808" width="10.33203125" style="159"/>
    <col min="12809" max="12809" width="11.5546875" style="159" customWidth="1"/>
    <col min="12810" max="12811" width="11.6640625" style="159" customWidth="1"/>
    <col min="12812" max="12812" width="9" style="159" customWidth="1"/>
    <col min="12813" max="12816" width="10.33203125" style="159"/>
    <col min="12817" max="12817" width="0" style="159" hidden="1" customWidth="1"/>
    <col min="12818" max="13056" width="10.33203125" style="159"/>
    <col min="13057" max="13057" width="12" style="159" customWidth="1"/>
    <col min="13058" max="13058" width="16.77734375" style="159" customWidth="1"/>
    <col min="13059" max="13059" width="16" style="159" customWidth="1"/>
    <col min="13060" max="13060" width="12.44140625" style="159" customWidth="1"/>
    <col min="13061" max="13061" width="16.5546875" style="159" customWidth="1"/>
    <col min="13062" max="13062" width="12.44140625" style="159" customWidth="1"/>
    <col min="13063" max="13063" width="11.6640625" style="159" customWidth="1"/>
    <col min="13064" max="13064" width="10.33203125" style="159"/>
    <col min="13065" max="13065" width="11.5546875" style="159" customWidth="1"/>
    <col min="13066" max="13067" width="11.6640625" style="159" customWidth="1"/>
    <col min="13068" max="13068" width="9" style="159" customWidth="1"/>
    <col min="13069" max="13072" width="10.33203125" style="159"/>
    <col min="13073" max="13073" width="0" style="159" hidden="1" customWidth="1"/>
    <col min="13074" max="13312" width="10.33203125" style="159"/>
    <col min="13313" max="13313" width="12" style="159" customWidth="1"/>
    <col min="13314" max="13314" width="16.77734375" style="159" customWidth="1"/>
    <col min="13315" max="13315" width="16" style="159" customWidth="1"/>
    <col min="13316" max="13316" width="12.44140625" style="159" customWidth="1"/>
    <col min="13317" max="13317" width="16.5546875" style="159" customWidth="1"/>
    <col min="13318" max="13318" width="12.44140625" style="159" customWidth="1"/>
    <col min="13319" max="13319" width="11.6640625" style="159" customWidth="1"/>
    <col min="13320" max="13320" width="10.33203125" style="159"/>
    <col min="13321" max="13321" width="11.5546875" style="159" customWidth="1"/>
    <col min="13322" max="13323" width="11.6640625" style="159" customWidth="1"/>
    <col min="13324" max="13324" width="9" style="159" customWidth="1"/>
    <col min="13325" max="13328" width="10.33203125" style="159"/>
    <col min="13329" max="13329" width="0" style="159" hidden="1" customWidth="1"/>
    <col min="13330" max="13568" width="10.33203125" style="159"/>
    <col min="13569" max="13569" width="12" style="159" customWidth="1"/>
    <col min="13570" max="13570" width="16.77734375" style="159" customWidth="1"/>
    <col min="13571" max="13571" width="16" style="159" customWidth="1"/>
    <col min="13572" max="13572" width="12.44140625" style="159" customWidth="1"/>
    <col min="13573" max="13573" width="16.5546875" style="159" customWidth="1"/>
    <col min="13574" max="13574" width="12.44140625" style="159" customWidth="1"/>
    <col min="13575" max="13575" width="11.6640625" style="159" customWidth="1"/>
    <col min="13576" max="13576" width="10.33203125" style="159"/>
    <col min="13577" max="13577" width="11.5546875" style="159" customWidth="1"/>
    <col min="13578" max="13579" width="11.6640625" style="159" customWidth="1"/>
    <col min="13580" max="13580" width="9" style="159" customWidth="1"/>
    <col min="13581" max="13584" width="10.33203125" style="159"/>
    <col min="13585" max="13585" width="0" style="159" hidden="1" customWidth="1"/>
    <col min="13586" max="13824" width="10.33203125" style="159"/>
    <col min="13825" max="13825" width="12" style="159" customWidth="1"/>
    <col min="13826" max="13826" width="16.77734375" style="159" customWidth="1"/>
    <col min="13827" max="13827" width="16" style="159" customWidth="1"/>
    <col min="13828" max="13828" width="12.44140625" style="159" customWidth="1"/>
    <col min="13829" max="13829" width="16.5546875" style="159" customWidth="1"/>
    <col min="13830" max="13830" width="12.44140625" style="159" customWidth="1"/>
    <col min="13831" max="13831" width="11.6640625" style="159" customWidth="1"/>
    <col min="13832" max="13832" width="10.33203125" style="159"/>
    <col min="13833" max="13833" width="11.5546875" style="159" customWidth="1"/>
    <col min="13834" max="13835" width="11.6640625" style="159" customWidth="1"/>
    <col min="13836" max="13836" width="9" style="159" customWidth="1"/>
    <col min="13837" max="13840" width="10.33203125" style="159"/>
    <col min="13841" max="13841" width="0" style="159" hidden="1" customWidth="1"/>
    <col min="13842" max="14080" width="10.33203125" style="159"/>
    <col min="14081" max="14081" width="12" style="159" customWidth="1"/>
    <col min="14082" max="14082" width="16.77734375" style="159" customWidth="1"/>
    <col min="14083" max="14083" width="16" style="159" customWidth="1"/>
    <col min="14084" max="14084" width="12.44140625" style="159" customWidth="1"/>
    <col min="14085" max="14085" width="16.5546875" style="159" customWidth="1"/>
    <col min="14086" max="14086" width="12.44140625" style="159" customWidth="1"/>
    <col min="14087" max="14087" width="11.6640625" style="159" customWidth="1"/>
    <col min="14088" max="14088" width="10.33203125" style="159"/>
    <col min="14089" max="14089" width="11.5546875" style="159" customWidth="1"/>
    <col min="14090" max="14091" width="11.6640625" style="159" customWidth="1"/>
    <col min="14092" max="14092" width="9" style="159" customWidth="1"/>
    <col min="14093" max="14096" width="10.33203125" style="159"/>
    <col min="14097" max="14097" width="0" style="159" hidden="1" customWidth="1"/>
    <col min="14098" max="14336" width="10.33203125" style="159"/>
    <col min="14337" max="14337" width="12" style="159" customWidth="1"/>
    <col min="14338" max="14338" width="16.77734375" style="159" customWidth="1"/>
    <col min="14339" max="14339" width="16" style="159" customWidth="1"/>
    <col min="14340" max="14340" width="12.44140625" style="159" customWidth="1"/>
    <col min="14341" max="14341" width="16.5546875" style="159" customWidth="1"/>
    <col min="14342" max="14342" width="12.44140625" style="159" customWidth="1"/>
    <col min="14343" max="14343" width="11.6640625" style="159" customWidth="1"/>
    <col min="14344" max="14344" width="10.33203125" style="159"/>
    <col min="14345" max="14345" width="11.5546875" style="159" customWidth="1"/>
    <col min="14346" max="14347" width="11.6640625" style="159" customWidth="1"/>
    <col min="14348" max="14348" width="9" style="159" customWidth="1"/>
    <col min="14349" max="14352" width="10.33203125" style="159"/>
    <col min="14353" max="14353" width="0" style="159" hidden="1" customWidth="1"/>
    <col min="14354" max="14592" width="10.33203125" style="159"/>
    <col min="14593" max="14593" width="12" style="159" customWidth="1"/>
    <col min="14594" max="14594" width="16.77734375" style="159" customWidth="1"/>
    <col min="14595" max="14595" width="16" style="159" customWidth="1"/>
    <col min="14596" max="14596" width="12.44140625" style="159" customWidth="1"/>
    <col min="14597" max="14597" width="16.5546875" style="159" customWidth="1"/>
    <col min="14598" max="14598" width="12.44140625" style="159" customWidth="1"/>
    <col min="14599" max="14599" width="11.6640625" style="159" customWidth="1"/>
    <col min="14600" max="14600" width="10.33203125" style="159"/>
    <col min="14601" max="14601" width="11.5546875" style="159" customWidth="1"/>
    <col min="14602" max="14603" width="11.6640625" style="159" customWidth="1"/>
    <col min="14604" max="14604" width="9" style="159" customWidth="1"/>
    <col min="14605" max="14608" width="10.33203125" style="159"/>
    <col min="14609" max="14609" width="0" style="159" hidden="1" customWidth="1"/>
    <col min="14610" max="14848" width="10.33203125" style="159"/>
    <col min="14849" max="14849" width="12" style="159" customWidth="1"/>
    <col min="14850" max="14850" width="16.77734375" style="159" customWidth="1"/>
    <col min="14851" max="14851" width="16" style="159" customWidth="1"/>
    <col min="14852" max="14852" width="12.44140625" style="159" customWidth="1"/>
    <col min="14853" max="14853" width="16.5546875" style="159" customWidth="1"/>
    <col min="14854" max="14854" width="12.44140625" style="159" customWidth="1"/>
    <col min="14855" max="14855" width="11.6640625" style="159" customWidth="1"/>
    <col min="14856" max="14856" width="10.33203125" style="159"/>
    <col min="14857" max="14857" width="11.5546875" style="159" customWidth="1"/>
    <col min="14858" max="14859" width="11.6640625" style="159" customWidth="1"/>
    <col min="14860" max="14860" width="9" style="159" customWidth="1"/>
    <col min="14861" max="14864" width="10.33203125" style="159"/>
    <col min="14865" max="14865" width="0" style="159" hidden="1" customWidth="1"/>
    <col min="14866" max="15104" width="10.33203125" style="159"/>
    <col min="15105" max="15105" width="12" style="159" customWidth="1"/>
    <col min="15106" max="15106" width="16.77734375" style="159" customWidth="1"/>
    <col min="15107" max="15107" width="16" style="159" customWidth="1"/>
    <col min="15108" max="15108" width="12.44140625" style="159" customWidth="1"/>
    <col min="15109" max="15109" width="16.5546875" style="159" customWidth="1"/>
    <col min="15110" max="15110" width="12.44140625" style="159" customWidth="1"/>
    <col min="15111" max="15111" width="11.6640625" style="159" customWidth="1"/>
    <col min="15112" max="15112" width="10.33203125" style="159"/>
    <col min="15113" max="15113" width="11.5546875" style="159" customWidth="1"/>
    <col min="15114" max="15115" width="11.6640625" style="159" customWidth="1"/>
    <col min="15116" max="15116" width="9" style="159" customWidth="1"/>
    <col min="15117" max="15120" width="10.33203125" style="159"/>
    <col min="15121" max="15121" width="0" style="159" hidden="1" customWidth="1"/>
    <col min="15122" max="15360" width="10.33203125" style="159"/>
    <col min="15361" max="15361" width="12" style="159" customWidth="1"/>
    <col min="15362" max="15362" width="16.77734375" style="159" customWidth="1"/>
    <col min="15363" max="15363" width="16" style="159" customWidth="1"/>
    <col min="15364" max="15364" width="12.44140625" style="159" customWidth="1"/>
    <col min="15365" max="15365" width="16.5546875" style="159" customWidth="1"/>
    <col min="15366" max="15366" width="12.44140625" style="159" customWidth="1"/>
    <col min="15367" max="15367" width="11.6640625" style="159" customWidth="1"/>
    <col min="15368" max="15368" width="10.33203125" style="159"/>
    <col min="15369" max="15369" width="11.5546875" style="159" customWidth="1"/>
    <col min="15370" max="15371" width="11.6640625" style="159" customWidth="1"/>
    <col min="15372" max="15372" width="9" style="159" customWidth="1"/>
    <col min="15373" max="15376" width="10.33203125" style="159"/>
    <col min="15377" max="15377" width="0" style="159" hidden="1" customWidth="1"/>
    <col min="15378" max="15616" width="10.33203125" style="159"/>
    <col min="15617" max="15617" width="12" style="159" customWidth="1"/>
    <col min="15618" max="15618" width="16.77734375" style="159" customWidth="1"/>
    <col min="15619" max="15619" width="16" style="159" customWidth="1"/>
    <col min="15620" max="15620" width="12.44140625" style="159" customWidth="1"/>
    <col min="15621" max="15621" width="16.5546875" style="159" customWidth="1"/>
    <col min="15622" max="15622" width="12.44140625" style="159" customWidth="1"/>
    <col min="15623" max="15623" width="11.6640625" style="159" customWidth="1"/>
    <col min="15624" max="15624" width="10.33203125" style="159"/>
    <col min="15625" max="15625" width="11.5546875" style="159" customWidth="1"/>
    <col min="15626" max="15627" width="11.6640625" style="159" customWidth="1"/>
    <col min="15628" max="15628" width="9" style="159" customWidth="1"/>
    <col min="15629" max="15632" width="10.33203125" style="159"/>
    <col min="15633" max="15633" width="0" style="159" hidden="1" customWidth="1"/>
    <col min="15634" max="15872" width="10.33203125" style="159"/>
    <col min="15873" max="15873" width="12" style="159" customWidth="1"/>
    <col min="15874" max="15874" width="16.77734375" style="159" customWidth="1"/>
    <col min="15875" max="15875" width="16" style="159" customWidth="1"/>
    <col min="15876" max="15876" width="12.44140625" style="159" customWidth="1"/>
    <col min="15877" max="15877" width="16.5546875" style="159" customWidth="1"/>
    <col min="15878" max="15878" width="12.44140625" style="159" customWidth="1"/>
    <col min="15879" max="15879" width="11.6640625" style="159" customWidth="1"/>
    <col min="15880" max="15880" width="10.33203125" style="159"/>
    <col min="15881" max="15881" width="11.5546875" style="159" customWidth="1"/>
    <col min="15882" max="15883" width="11.6640625" style="159" customWidth="1"/>
    <col min="15884" max="15884" width="9" style="159" customWidth="1"/>
    <col min="15885" max="15888" width="10.33203125" style="159"/>
    <col min="15889" max="15889" width="0" style="159" hidden="1" customWidth="1"/>
    <col min="15890" max="16128" width="10.33203125" style="159"/>
    <col min="16129" max="16129" width="12" style="159" customWidth="1"/>
    <col min="16130" max="16130" width="16.77734375" style="159" customWidth="1"/>
    <col min="16131" max="16131" width="16" style="159" customWidth="1"/>
    <col min="16132" max="16132" width="12.44140625" style="159" customWidth="1"/>
    <col min="16133" max="16133" width="16.5546875" style="159" customWidth="1"/>
    <col min="16134" max="16134" width="12.44140625" style="159" customWidth="1"/>
    <col min="16135" max="16135" width="11.6640625" style="159" customWidth="1"/>
    <col min="16136" max="16136" width="10.33203125" style="159"/>
    <col min="16137" max="16137" width="11.5546875" style="159" customWidth="1"/>
    <col min="16138" max="16139" width="11.6640625" style="159" customWidth="1"/>
    <col min="16140" max="16140" width="9" style="159" customWidth="1"/>
    <col min="16141" max="16144" width="10.33203125" style="159"/>
    <col min="16145" max="16145" width="0" style="159" hidden="1" customWidth="1"/>
    <col min="16146" max="16384" width="10.33203125" style="159"/>
  </cols>
  <sheetData>
    <row r="2" spans="1:17" ht="14.85" customHeight="1" thickBot="1"/>
    <row r="3" spans="1:17" ht="14.85" customHeight="1">
      <c r="A3" s="280"/>
      <c r="B3" s="280"/>
      <c r="C3" s="280"/>
      <c r="D3" s="280"/>
      <c r="E3" s="280"/>
      <c r="F3" s="203"/>
      <c r="G3" s="203"/>
      <c r="H3" s="204" t="s">
        <v>0</v>
      </c>
      <c r="I3" s="205" t="s">
        <v>90</v>
      </c>
      <c r="J3" s="206" t="s">
        <v>112</v>
      </c>
      <c r="L3" s="207" t="s">
        <v>113</v>
      </c>
    </row>
    <row r="4" spans="1:17" ht="14.85" customHeight="1">
      <c r="A4" s="264"/>
      <c r="B4" s="264"/>
      <c r="C4" s="267" t="s">
        <v>16</v>
      </c>
      <c r="D4" s="267"/>
      <c r="E4" s="267" t="s">
        <v>91</v>
      </c>
      <c r="F4" s="267"/>
      <c r="G4" s="264" t="s">
        <v>92</v>
      </c>
      <c r="H4" s="264"/>
      <c r="I4" s="267" t="s">
        <v>93</v>
      </c>
      <c r="J4" s="267"/>
      <c r="K4" s="267" t="s">
        <v>12</v>
      </c>
      <c r="L4" s="267"/>
      <c r="M4" s="281" t="s">
        <v>88</v>
      </c>
      <c r="N4" s="282"/>
      <c r="O4" s="157" t="s">
        <v>94</v>
      </c>
      <c r="P4" s="158" t="s">
        <v>14</v>
      </c>
    </row>
    <row r="5" spans="1:17" ht="14.85" customHeight="1">
      <c r="A5" s="270"/>
      <c r="B5" s="270"/>
      <c r="C5" s="160">
        <v>5.5E-2</v>
      </c>
      <c r="D5" s="160">
        <v>6.0999999999999999E-2</v>
      </c>
      <c r="E5" s="160">
        <v>2.5000000000000001E-3</v>
      </c>
      <c r="F5" s="160">
        <v>7.4999999999999997E-3</v>
      </c>
      <c r="G5" s="160">
        <v>0.03</v>
      </c>
      <c r="H5" s="160">
        <v>0.05</v>
      </c>
      <c r="I5" s="160">
        <v>5.0000000000000001E-3</v>
      </c>
      <c r="J5" s="160">
        <v>0.01</v>
      </c>
      <c r="K5" s="161">
        <v>7.5000000000000002E-4</v>
      </c>
      <c r="L5" s="160">
        <v>1.5E-3</v>
      </c>
      <c r="M5" s="160">
        <v>0.03</v>
      </c>
      <c r="N5" s="160">
        <v>0.05</v>
      </c>
      <c r="O5" s="160" t="s">
        <v>95</v>
      </c>
      <c r="P5" s="158" t="s">
        <v>96</v>
      </c>
    </row>
    <row r="6" spans="1:17" ht="14.85" customHeight="1">
      <c r="A6" s="264" t="s">
        <v>97</v>
      </c>
      <c r="B6" s="264"/>
      <c r="C6" s="162" t="s">
        <v>16</v>
      </c>
      <c r="D6" s="163">
        <v>5.8999999999999997E-2</v>
      </c>
      <c r="E6" s="162" t="s">
        <v>91</v>
      </c>
      <c r="F6" s="163">
        <v>5.0000000000000001E-3</v>
      </c>
      <c r="G6" s="162" t="s">
        <v>92</v>
      </c>
      <c r="H6" s="163">
        <v>0.04</v>
      </c>
      <c r="I6" s="162" t="s">
        <v>93</v>
      </c>
      <c r="J6" s="164">
        <v>8.0000000000000004E-4</v>
      </c>
      <c r="K6" s="162" t="s">
        <v>12</v>
      </c>
      <c r="L6" s="164">
        <v>1.0499999999999999E-3</v>
      </c>
      <c r="M6" s="162" t="s">
        <v>88</v>
      </c>
      <c r="N6" s="165">
        <v>0.04</v>
      </c>
      <c r="O6" s="160">
        <v>4.0000000000000001E-3</v>
      </c>
      <c r="P6" s="166">
        <v>6.9999999999999999E-4</v>
      </c>
    </row>
    <row r="7" spans="1:17" ht="14.85" customHeight="1">
      <c r="A7" s="182"/>
      <c r="B7" s="182"/>
      <c r="C7" s="182"/>
      <c r="D7" s="182"/>
      <c r="E7" s="182"/>
      <c r="F7" s="182"/>
      <c r="G7" s="182"/>
      <c r="H7" s="182"/>
      <c r="I7" s="182"/>
      <c r="J7" s="182"/>
      <c r="K7" s="182"/>
      <c r="L7" s="182"/>
      <c r="M7" s="182"/>
      <c r="N7" s="182"/>
      <c r="O7" s="182"/>
    </row>
    <row r="8" spans="1:17" ht="14.85" customHeight="1">
      <c r="A8" s="283" t="s">
        <v>114</v>
      </c>
      <c r="B8" s="283"/>
      <c r="C8" s="283"/>
      <c r="D8" s="283"/>
      <c r="E8" s="283"/>
      <c r="F8" s="283"/>
      <c r="G8" s="283"/>
      <c r="H8" s="283"/>
      <c r="I8" s="283"/>
      <c r="J8" s="283"/>
      <c r="K8" s="158"/>
      <c r="L8" s="182"/>
      <c r="M8" s="208" t="s">
        <v>80</v>
      </c>
      <c r="N8" s="182"/>
      <c r="O8" s="182"/>
    </row>
    <row r="9" spans="1:17" ht="14.85" customHeight="1">
      <c r="A9" s="209"/>
      <c r="B9" s="210" t="s">
        <v>115</v>
      </c>
      <c r="C9" s="170" t="s">
        <v>66</v>
      </c>
      <c r="D9" s="170" t="s">
        <v>91</v>
      </c>
      <c r="E9" s="170" t="s">
        <v>16</v>
      </c>
      <c r="F9" s="170" t="s">
        <v>93</v>
      </c>
      <c r="G9" s="170" t="s">
        <v>92</v>
      </c>
      <c r="H9" s="170" t="s">
        <v>12</v>
      </c>
      <c r="I9" s="170" t="s">
        <v>88</v>
      </c>
      <c r="J9" s="170" t="s">
        <v>100</v>
      </c>
      <c r="K9" s="258" t="s">
        <v>14</v>
      </c>
      <c r="L9" s="182"/>
      <c r="M9" s="156" t="s">
        <v>17</v>
      </c>
      <c r="N9" s="182"/>
      <c r="O9" s="207"/>
    </row>
    <row r="10" spans="1:17" ht="14.85" customHeight="1">
      <c r="A10" s="211" t="s">
        <v>116</v>
      </c>
      <c r="B10" s="191" t="s">
        <v>106</v>
      </c>
      <c r="C10" s="169"/>
      <c r="D10" s="169"/>
      <c r="E10" s="169"/>
      <c r="F10" s="169"/>
      <c r="G10" s="169"/>
      <c r="H10" s="169">
        <f>oxti1</f>
        <v>2.9999999999999997E-4</v>
      </c>
      <c r="I10" s="169"/>
      <c r="J10" s="169"/>
      <c r="K10" s="158"/>
      <c r="L10" s="182"/>
      <c r="M10" s="212">
        <v>6768</v>
      </c>
      <c r="N10" s="182"/>
      <c r="O10" s="182"/>
    </row>
    <row r="11" spans="1:17" ht="14.85" customHeight="1">
      <c r="A11" s="168" t="s">
        <v>98</v>
      </c>
      <c r="B11" s="167" t="s">
        <v>99</v>
      </c>
      <c r="C11" s="169"/>
      <c r="D11" s="169">
        <v>0.65100000000000002</v>
      </c>
      <c r="E11" s="169">
        <v>0.34699999999999998</v>
      </c>
      <c r="F11" s="169"/>
      <c r="G11" s="169"/>
      <c r="H11" s="169">
        <v>8.9999999999999998E-4</v>
      </c>
      <c r="I11" s="169"/>
      <c r="J11" s="169"/>
      <c r="K11" s="158"/>
      <c r="L11" s="182"/>
      <c r="M11" s="212">
        <v>342</v>
      </c>
      <c r="N11" s="182"/>
      <c r="O11" s="182"/>
      <c r="Q11" s="213">
        <v>0.40250000000000002</v>
      </c>
    </row>
    <row r="12" spans="1:17" ht="14.85" customHeight="1">
      <c r="A12" s="211" t="s">
        <v>117</v>
      </c>
      <c r="B12" s="167" t="s">
        <v>102</v>
      </c>
      <c r="C12" s="169"/>
      <c r="D12" s="169"/>
      <c r="E12" s="169">
        <v>0.99819999999999998</v>
      </c>
      <c r="F12" s="169"/>
      <c r="G12" s="169"/>
      <c r="H12" s="169"/>
      <c r="I12" s="169"/>
      <c r="J12" s="169"/>
      <c r="K12" s="158"/>
      <c r="L12" s="182"/>
      <c r="M12" s="212">
        <v>1770</v>
      </c>
      <c r="N12" s="182"/>
      <c r="O12" s="182"/>
      <c r="Q12" s="213">
        <v>0.59499999999999997</v>
      </c>
    </row>
    <row r="13" spans="1:17" ht="14.85" customHeight="1">
      <c r="A13" s="211" t="s">
        <v>118</v>
      </c>
      <c r="B13" s="167" t="s">
        <v>110</v>
      </c>
      <c r="C13" s="169"/>
      <c r="D13" s="169"/>
      <c r="E13" s="169">
        <v>0.40250000000000002</v>
      </c>
      <c r="F13" s="169">
        <v>0.59499999999999997</v>
      </c>
      <c r="G13" s="169"/>
      <c r="H13" s="169">
        <v>7.9000000000000001E-4</v>
      </c>
      <c r="I13" s="169"/>
      <c r="J13" s="169"/>
      <c r="K13" s="158"/>
      <c r="L13" s="182"/>
      <c r="M13" s="212">
        <v>400</v>
      </c>
      <c r="N13" s="182"/>
      <c r="O13" s="182"/>
      <c r="Q13" s="213">
        <v>7.9000000000000001E-4</v>
      </c>
    </row>
    <row r="14" spans="1:17" ht="14.85" customHeight="1">
      <c r="A14" s="211" t="s">
        <v>119</v>
      </c>
      <c r="B14" s="167" t="s">
        <v>105</v>
      </c>
      <c r="C14" s="257"/>
      <c r="D14" s="169"/>
      <c r="E14" s="214"/>
      <c r="F14" s="161"/>
      <c r="G14" s="215"/>
      <c r="H14" s="215"/>
      <c r="I14" s="169">
        <v>0.99960000000000004</v>
      </c>
      <c r="J14" s="169"/>
      <c r="K14" s="158"/>
      <c r="L14" s="182"/>
      <c r="M14" s="216">
        <v>291</v>
      </c>
      <c r="N14" s="182"/>
      <c r="O14" s="182"/>
    </row>
    <row r="15" spans="1:17" ht="14.85" hidden="1" customHeight="1">
      <c r="A15" s="217"/>
      <c r="B15" s="167"/>
      <c r="C15" s="257"/>
      <c r="D15" s="169"/>
      <c r="E15" s="218"/>
      <c r="F15" s="169"/>
      <c r="G15" s="169"/>
      <c r="H15" s="169"/>
      <c r="I15" s="169"/>
      <c r="J15" s="169"/>
      <c r="K15" s="158"/>
      <c r="L15" s="182"/>
      <c r="M15" s="212"/>
      <c r="N15" s="182"/>
      <c r="O15" s="182"/>
    </row>
    <row r="16" spans="1:17" ht="14.85" customHeight="1">
      <c r="A16" s="211" t="s">
        <v>120</v>
      </c>
      <c r="B16" s="177" t="s">
        <v>107</v>
      </c>
      <c r="C16" s="219" t="s">
        <v>121</v>
      </c>
      <c r="D16" s="211"/>
      <c r="E16" s="211"/>
      <c r="F16" s="211"/>
      <c r="G16" s="211"/>
      <c r="H16" s="220"/>
      <c r="J16" s="221">
        <v>0.61499999999999999</v>
      </c>
      <c r="K16" s="220"/>
      <c r="L16" s="182"/>
      <c r="M16" s="218">
        <v>20.2</v>
      </c>
      <c r="N16" s="182"/>
    </row>
    <row r="17" spans="1:15" ht="14.85" customHeight="1">
      <c r="A17" s="211" t="s">
        <v>30</v>
      </c>
      <c r="B17" s="167" t="s">
        <v>122</v>
      </c>
      <c r="C17" s="257">
        <v>0.6</v>
      </c>
      <c r="D17" s="169"/>
      <c r="E17" s="169"/>
      <c r="F17" s="169"/>
      <c r="G17" s="169"/>
      <c r="H17" s="169">
        <v>0.4</v>
      </c>
      <c r="I17" s="169"/>
      <c r="J17" s="169"/>
      <c r="K17" s="158"/>
      <c r="L17" s="182"/>
      <c r="M17" s="212">
        <v>486</v>
      </c>
      <c r="N17" s="182"/>
      <c r="O17" s="182"/>
    </row>
    <row r="18" spans="1:15" ht="14.85" customHeight="1">
      <c r="A18" s="211" t="s">
        <v>123</v>
      </c>
      <c r="B18" s="189">
        <v>24.210319999999999</v>
      </c>
      <c r="C18" s="169"/>
      <c r="D18" s="169"/>
      <c r="E18" s="169"/>
      <c r="F18" s="169"/>
      <c r="G18" s="161">
        <v>0.97629999999999995</v>
      </c>
      <c r="H18" s="169"/>
      <c r="I18" s="169"/>
      <c r="J18" s="169"/>
      <c r="K18" s="158"/>
      <c r="L18" s="182"/>
      <c r="M18" s="222">
        <v>10</v>
      </c>
      <c r="N18" s="182"/>
      <c r="O18" s="182"/>
    </row>
    <row r="19" spans="1:15" ht="14.85" customHeight="1">
      <c r="A19" s="223" t="s">
        <v>124</v>
      </c>
      <c r="B19" s="224" t="s">
        <v>14</v>
      </c>
      <c r="C19" s="169"/>
      <c r="D19" s="169"/>
      <c r="E19" s="169"/>
      <c r="F19" s="169"/>
      <c r="G19" s="169"/>
      <c r="H19" s="169"/>
      <c r="I19" s="169"/>
      <c r="J19" s="169"/>
      <c r="K19" s="225">
        <v>0.99890000000000001</v>
      </c>
      <c r="L19" s="182"/>
      <c r="M19" s="226">
        <v>0.4</v>
      </c>
      <c r="N19" s="182"/>
      <c r="O19" s="182"/>
    </row>
    <row r="20" spans="1:15" ht="14.85" customHeight="1">
      <c r="A20" s="227"/>
      <c r="B20" s="228"/>
      <c r="C20" s="229"/>
      <c r="D20" s="229"/>
      <c r="E20" s="229"/>
      <c r="F20" s="229"/>
      <c r="G20" s="229"/>
      <c r="H20" s="229"/>
      <c r="I20" s="229"/>
      <c r="J20" s="229"/>
      <c r="M20" s="230"/>
      <c r="N20" s="182"/>
      <c r="O20" s="182"/>
    </row>
    <row r="21" spans="1:15" ht="14.85" customHeight="1">
      <c r="A21" s="231"/>
      <c r="B21" s="231"/>
      <c r="C21" s="231"/>
      <c r="D21" s="231"/>
      <c r="E21" s="231"/>
      <c r="F21" s="231"/>
      <c r="G21" s="231"/>
      <c r="H21" s="231"/>
      <c r="I21" s="231"/>
      <c r="J21" s="231"/>
      <c r="K21" s="231"/>
      <c r="L21" s="231"/>
      <c r="M21" s="182"/>
      <c r="N21" s="182"/>
      <c r="O21" s="182"/>
    </row>
    <row r="22" spans="1:15" ht="14.85" customHeight="1">
      <c r="A22" s="284" t="s">
        <v>125</v>
      </c>
      <c r="B22" s="285"/>
      <c r="C22" s="285"/>
      <c r="D22" s="285"/>
      <c r="E22" s="285"/>
      <c r="F22" s="285"/>
      <c r="G22" s="285"/>
      <c r="H22" s="285"/>
      <c r="I22" s="285"/>
      <c r="J22" s="285"/>
      <c r="K22" s="286"/>
      <c r="L22" s="182"/>
      <c r="M22" s="182"/>
      <c r="N22" s="182"/>
      <c r="O22" s="182"/>
    </row>
    <row r="23" spans="1:15" ht="14.85" customHeight="1">
      <c r="A23" s="283" t="s">
        <v>126</v>
      </c>
      <c r="B23" s="283"/>
      <c r="C23" s="170" t="s">
        <v>66</v>
      </c>
      <c r="D23" s="170" t="s">
        <v>91</v>
      </c>
      <c r="E23" s="170" t="s">
        <v>16</v>
      </c>
      <c r="F23" s="170" t="s">
        <v>93</v>
      </c>
      <c r="G23" s="176" t="s">
        <v>92</v>
      </c>
      <c r="H23" s="183" t="s">
        <v>100</v>
      </c>
      <c r="I23" s="170" t="s">
        <v>12</v>
      </c>
      <c r="J23" s="259" t="s">
        <v>88</v>
      </c>
      <c r="K23" s="259" t="s">
        <v>14</v>
      </c>
      <c r="L23" s="182"/>
      <c r="M23" s="182"/>
      <c r="N23" s="182"/>
      <c r="O23" s="182"/>
    </row>
    <row r="24" spans="1:15" ht="14.85" customHeight="1">
      <c r="A24" s="287" t="s">
        <v>127</v>
      </c>
      <c r="B24" s="287"/>
      <c r="C24" s="232">
        <f>100%-D24-E24-F24-G24-H24-J24-K24</f>
        <v>0.85049999999999981</v>
      </c>
      <c r="D24" s="165">
        <f>F6</f>
        <v>5.0000000000000001E-3</v>
      </c>
      <c r="E24" s="165">
        <f>D6</f>
        <v>5.8999999999999997E-2</v>
      </c>
      <c r="F24" s="165">
        <f>J6</f>
        <v>8.0000000000000004E-4</v>
      </c>
      <c r="G24" s="165">
        <f>H6</f>
        <v>0.04</v>
      </c>
      <c r="H24" s="233">
        <f>O6</f>
        <v>4.0000000000000001E-3</v>
      </c>
      <c r="I24" s="234">
        <f>L6</f>
        <v>1.0499999999999999E-3</v>
      </c>
      <c r="J24" s="233">
        <v>0.04</v>
      </c>
      <c r="K24" s="165">
        <f>P6</f>
        <v>6.9999999999999999E-4</v>
      </c>
      <c r="L24" s="182"/>
      <c r="M24" s="182"/>
      <c r="N24" s="182"/>
      <c r="O24" s="182"/>
    </row>
    <row r="25" spans="1:15" ht="14.85" customHeight="1">
      <c r="A25" s="288" t="s">
        <v>128</v>
      </c>
      <c r="B25" s="289"/>
      <c r="C25" s="289"/>
      <c r="D25" s="289"/>
      <c r="E25" s="289"/>
      <c r="F25" s="289"/>
      <c r="G25" s="289"/>
      <c r="H25" s="289"/>
      <c r="I25" s="289"/>
      <c r="J25" s="289"/>
      <c r="K25" s="231"/>
      <c r="L25" s="182"/>
      <c r="M25" s="182"/>
      <c r="N25" s="182"/>
      <c r="O25" s="182"/>
    </row>
    <row r="26" spans="1:15" ht="14.85" customHeight="1">
      <c r="A26" s="210"/>
      <c r="B26" s="210"/>
      <c r="C26" s="210" t="s">
        <v>116</v>
      </c>
      <c r="D26" s="198" t="s">
        <v>129</v>
      </c>
      <c r="E26" s="210" t="s">
        <v>117</v>
      </c>
      <c r="F26" s="210" t="s">
        <v>109</v>
      </c>
      <c r="G26" s="210" t="s">
        <v>92</v>
      </c>
      <c r="H26" s="210" t="s">
        <v>120</v>
      </c>
      <c r="I26" s="210" t="s">
        <v>30</v>
      </c>
      <c r="J26" s="235" t="s">
        <v>88</v>
      </c>
      <c r="K26" s="236" t="s">
        <v>14</v>
      </c>
      <c r="L26" s="207"/>
      <c r="M26" s="182"/>
      <c r="N26" s="182"/>
      <c r="O26" s="182"/>
    </row>
    <row r="27" spans="1:15" ht="31.2" customHeight="1">
      <c r="A27" s="237"/>
      <c r="B27" s="238">
        <v>10</v>
      </c>
      <c r="C27" s="239">
        <f>B27-D27-E27-F27-G27-H27-J27-K27</f>
        <v>8.4688881262804774</v>
      </c>
      <c r="D27" s="238">
        <f>B27*D24/D11</f>
        <v>7.6804915514592939E-2</v>
      </c>
      <c r="E27" s="239">
        <f>(B27*E24-D27*E11-F27*E13)/E12</f>
        <v>0.55894302705926058</v>
      </c>
      <c r="F27" s="238">
        <f>B27*F24/F13</f>
        <v>1.3445378151260505E-2</v>
      </c>
      <c r="G27" s="238">
        <f>B27*G24/G18</f>
        <v>0.40971013008296636</v>
      </c>
      <c r="H27" s="238">
        <f>B27*H24/J16</f>
        <v>6.5040650406504072E-2</v>
      </c>
      <c r="I27" s="239">
        <f>B27*I24/H17-C27*H10-D27*H11-E27*H13-F27*H14-G27*H15-H27*H16</f>
        <v>2.3198644146775905E-2</v>
      </c>
      <c r="J27" s="238">
        <f>B27*J24/I14</f>
        <v>0.40016006402561027</v>
      </c>
      <c r="K27" s="238">
        <f>B27*K24/K19</f>
        <v>7.0077084793272598E-3</v>
      </c>
      <c r="L27" s="207"/>
      <c r="M27" s="182"/>
      <c r="N27" s="182"/>
      <c r="O27" s="182"/>
    </row>
    <row r="28" spans="1:15" ht="23.25" customHeight="1">
      <c r="A28" s="237" t="s">
        <v>130</v>
      </c>
      <c r="B28" s="240">
        <v>40</v>
      </c>
      <c r="C28" s="240">
        <f>C27*B28/B27</f>
        <v>33.87555250512191</v>
      </c>
      <c r="D28" s="240">
        <f>D27*B28/B27</f>
        <v>0.30721966205837176</v>
      </c>
      <c r="E28" s="240">
        <f>E27*B28/B27</f>
        <v>2.2357721082370423</v>
      </c>
      <c r="F28" s="240">
        <f>F27*B28/B27</f>
        <v>5.3781512605042027E-2</v>
      </c>
      <c r="G28" s="240">
        <f>G27*B28/B27</f>
        <v>1.6388405203318654</v>
      </c>
      <c r="H28" s="240">
        <f>H27*B28/B27</f>
        <v>0.26016260162601629</v>
      </c>
      <c r="I28" s="240">
        <f>B28*I27/B27</f>
        <v>9.2794576587103619E-2</v>
      </c>
      <c r="J28" s="240">
        <f>B28*J27/B27</f>
        <v>1.6006402561024413</v>
      </c>
      <c r="K28" s="240">
        <f>B28*K27/B27</f>
        <v>2.8030833917309039E-2</v>
      </c>
      <c r="L28" s="207"/>
      <c r="M28" s="182"/>
      <c r="N28" s="241" t="s">
        <v>131</v>
      </c>
      <c r="O28" s="182"/>
    </row>
    <row r="29" spans="1:15" ht="14.85" customHeight="1">
      <c r="A29" s="242"/>
      <c r="B29" s="243">
        <f>B28*N29</f>
        <v>160</v>
      </c>
      <c r="C29" s="243">
        <f>C28*N29</f>
        <v>135.50221002048764</v>
      </c>
      <c r="D29" s="243">
        <f>D28*N29</f>
        <v>1.228878648233487</v>
      </c>
      <c r="E29" s="243">
        <f>E28*N29</f>
        <v>8.9430884329481692</v>
      </c>
      <c r="F29" s="243">
        <f>F28*N29</f>
        <v>0.21512605042016811</v>
      </c>
      <c r="G29" s="243">
        <f>G28*N29</f>
        <v>6.5553620813274618</v>
      </c>
      <c r="H29" s="243">
        <f>H28*N29</f>
        <v>1.0406504065040652</v>
      </c>
      <c r="I29" s="243">
        <f>I28*N29</f>
        <v>0.37117830634841448</v>
      </c>
      <c r="J29" s="243">
        <f>J28*N29</f>
        <v>6.4025610244097653</v>
      </c>
      <c r="K29" s="243">
        <f>K28*N29</f>
        <v>0.11212333566923616</v>
      </c>
      <c r="L29" s="230"/>
      <c r="M29" s="182"/>
      <c r="N29" s="244">
        <v>4</v>
      </c>
      <c r="O29" s="182"/>
    </row>
    <row r="30" spans="1:15" ht="23.25" customHeight="1">
      <c r="A30" s="231"/>
      <c r="B30" s="245"/>
      <c r="C30" s="245"/>
      <c r="D30" s="245"/>
      <c r="E30" s="245"/>
      <c r="F30" s="245"/>
      <c r="G30" s="245"/>
      <c r="H30" s="245"/>
      <c r="I30" s="245"/>
      <c r="J30" s="245"/>
      <c r="K30" s="246"/>
      <c r="L30" s="207"/>
      <c r="M30" s="182"/>
      <c r="N30" s="182"/>
      <c r="O30" s="182"/>
    </row>
    <row r="31" spans="1:15" ht="14.85" customHeight="1">
      <c r="B31" s="207"/>
      <c r="C31" s="207"/>
      <c r="D31" s="231"/>
      <c r="E31" s="231"/>
      <c r="F31" s="231"/>
      <c r="G31" s="231"/>
      <c r="H31" s="231"/>
      <c r="I31" s="231"/>
      <c r="J31" s="231"/>
      <c r="K31" s="231"/>
      <c r="L31" s="231"/>
      <c r="M31" s="182"/>
      <c r="N31" s="182"/>
      <c r="O31" s="182"/>
    </row>
    <row r="32" spans="1:15" ht="14.85" customHeight="1">
      <c r="A32" s="209" t="s">
        <v>132</v>
      </c>
      <c r="B32" s="247" t="str">
        <f>A10</f>
        <v>Ti burete</v>
      </c>
      <c r="C32" s="209" t="str">
        <f>A11</f>
        <v>AlMo35/65</v>
      </c>
      <c r="D32" s="247" t="str">
        <f>A12</f>
        <v>Al met.</v>
      </c>
      <c r="E32" s="156" t="s">
        <v>92</v>
      </c>
      <c r="F32" s="209" t="s">
        <v>88</v>
      </c>
      <c r="G32" s="156" t="s">
        <v>109</v>
      </c>
      <c r="H32" s="219" t="str">
        <f>A17</f>
        <v>TiO2</v>
      </c>
      <c r="I32" s="156" t="s">
        <v>100</v>
      </c>
      <c r="J32" s="209" t="s">
        <v>14</v>
      </c>
      <c r="K32" s="231"/>
      <c r="L32" s="207"/>
      <c r="M32" s="182"/>
      <c r="N32" s="182"/>
      <c r="O32" s="182"/>
    </row>
    <row r="33" spans="1:15" ht="14.85" customHeight="1">
      <c r="A33" s="210" t="s">
        <v>133</v>
      </c>
      <c r="B33" s="222">
        <f>M10</f>
        <v>6768</v>
      </c>
      <c r="C33" s="222">
        <f>M11</f>
        <v>342</v>
      </c>
      <c r="D33" s="222">
        <f>M12</f>
        <v>1770</v>
      </c>
      <c r="E33" s="248">
        <f>M18</f>
        <v>10</v>
      </c>
      <c r="F33" s="248">
        <f>M14</f>
        <v>291</v>
      </c>
      <c r="G33" s="249">
        <f>M13</f>
        <v>400</v>
      </c>
      <c r="H33" s="248">
        <f>M17</f>
        <v>486</v>
      </c>
      <c r="I33" s="248">
        <f>M16</f>
        <v>20.2</v>
      </c>
      <c r="J33" s="250">
        <f>M19</f>
        <v>0.4</v>
      </c>
      <c r="K33" s="231"/>
      <c r="L33" s="231"/>
      <c r="M33" s="182"/>
      <c r="N33" s="182"/>
      <c r="O33" s="182"/>
    </row>
    <row r="34" spans="1:15" ht="14.85" customHeight="1">
      <c r="A34" s="251"/>
      <c r="B34" s="222">
        <f>B33-C29</f>
        <v>6632.4977899795122</v>
      </c>
      <c r="C34" s="222">
        <f>C33-D29</f>
        <v>340.77112135176651</v>
      </c>
      <c r="D34" s="222">
        <f>D33-E29</f>
        <v>1761.0569115670519</v>
      </c>
      <c r="E34" s="222">
        <f>E33-G29</f>
        <v>3.4446379186725382</v>
      </c>
      <c r="F34" s="222">
        <f>F33-J29</f>
        <v>284.59743897559025</v>
      </c>
      <c r="G34" s="250">
        <f>G33-F29</f>
        <v>399.78487394957983</v>
      </c>
      <c r="H34" s="250">
        <f>H33-I29</f>
        <v>485.62882169365156</v>
      </c>
      <c r="I34" s="248">
        <f>I33-H29</f>
        <v>19.159349593495936</v>
      </c>
      <c r="J34" s="252">
        <f>J33-K29</f>
        <v>0.28787666433076387</v>
      </c>
      <c r="K34" s="231"/>
      <c r="L34" s="231"/>
      <c r="M34" s="182"/>
      <c r="N34" s="182"/>
      <c r="O34" s="182"/>
    </row>
    <row r="35" spans="1:15" ht="14.85" customHeight="1">
      <c r="A35" s="251"/>
      <c r="B35" s="251"/>
      <c r="C35" s="251"/>
      <c r="D35" s="251"/>
      <c r="E35" s="251"/>
      <c r="F35" s="251"/>
      <c r="G35" s="251"/>
      <c r="H35" s="251"/>
      <c r="I35" s="251"/>
      <c r="J35" s="251"/>
      <c r="K35" s="207"/>
      <c r="L35" s="231"/>
      <c r="M35" s="182"/>
      <c r="N35" s="182"/>
      <c r="O35" s="182"/>
    </row>
  </sheetData>
  <sheetProtection selectLockedCells="1" selectUnlockedCells="1"/>
  <mergeCells count="15">
    <mergeCell ref="A8:J8"/>
    <mergeCell ref="A22:K22"/>
    <mergeCell ref="A23:B23"/>
    <mergeCell ref="A24:B24"/>
    <mergeCell ref="A25:J25"/>
    <mergeCell ref="I4:J4"/>
    <mergeCell ref="K4:L4"/>
    <mergeCell ref="M4:N4"/>
    <mergeCell ref="A5:B5"/>
    <mergeCell ref="A6:B6"/>
    <mergeCell ref="A3:E3"/>
    <mergeCell ref="A4:B4"/>
    <mergeCell ref="C4:D4"/>
    <mergeCell ref="E4:F4"/>
    <mergeCell ref="G4:H4"/>
  </mergeCells>
  <pageMargins left="0.70866141732283505" right="0.70866141732283505" top="0.74803149606299202" bottom="0.74803149606299202" header="0.31496062992126" footer="0.31496062992126"/>
  <pageSetup paperSize="9" scale="71" firstPageNumber="0" orientation="landscape" r:id="rId1"/>
  <headerFooter alignWithMargins="0">
    <oddHeader>&amp;C&amp;"Times New Roman,Regular"&amp;11&amp;F&amp;R&amp;"Times New Roman,Regular"&amp;12Data: 10.04.2023</oddHeader>
    <oddFooter>&amp;L&amp;"Times New Roman,Regular"&amp;12Sectie  Lingouri,
Chiru Dan&amp;CIntocmit,
Racasanu Georgeta&amp;R&amp;"Times New Roman,Regular"&amp;12
                                        pg. &amp;P
Formular Cod:PGQ036.F8.00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54</vt:i4>
      </vt:variant>
    </vt:vector>
  </HeadingPairs>
  <TitlesOfParts>
    <vt:vector size="57" baseType="lpstr">
      <vt:lpstr>DateIntrare</vt:lpstr>
      <vt:lpstr>Bilant</vt:lpstr>
      <vt:lpstr>RetDozare</vt:lpstr>
      <vt:lpstr>alalv1</vt:lpstr>
      <vt:lpstr>alalv2</vt:lpstr>
      <vt:lpstr>alalv3</vt:lpstr>
      <vt:lpstr>astm</vt:lpstr>
      <vt:lpstr>comanda</vt:lpstr>
      <vt:lpstr>concal2</vt:lpstr>
      <vt:lpstr>concfe1</vt:lpstr>
      <vt:lpstr>feal1</vt:lpstr>
      <vt:lpstr>feal2</vt:lpstr>
      <vt:lpstr>fealv1</vt:lpstr>
      <vt:lpstr>fealv2</vt:lpstr>
      <vt:lpstr>fealv3</vt:lpstr>
      <vt:lpstr>feti1</vt:lpstr>
      <vt:lpstr>feti2</vt:lpstr>
      <vt:lpstr>feti3</vt:lpstr>
      <vt:lpstr>feti4</vt:lpstr>
      <vt:lpstr>feti5</vt:lpstr>
      <vt:lpstr>feti7</vt:lpstr>
      <vt:lpstr>feti8</vt:lpstr>
      <vt:lpstr>feti9</vt:lpstr>
      <vt:lpstr>lotal1</vt:lpstr>
      <vt:lpstr>lotal2</vt:lpstr>
      <vt:lpstr>lotalv1</vt:lpstr>
      <vt:lpstr>lotalv2</vt:lpstr>
      <vt:lpstr>lotalv3</vt:lpstr>
      <vt:lpstr>lotfe1</vt:lpstr>
      <vt:lpstr>lotti1</vt:lpstr>
      <vt:lpstr>lotti2</vt:lpstr>
      <vt:lpstr>lotti3</vt:lpstr>
      <vt:lpstr>lotti4</vt:lpstr>
      <vt:lpstr>lotti5</vt:lpstr>
      <vt:lpstr>lotti7</vt:lpstr>
      <vt:lpstr>lotti8</vt:lpstr>
      <vt:lpstr>lotti9</vt:lpstr>
      <vt:lpstr>lottio2</vt:lpstr>
      <vt:lpstr>nrpresbara</vt:lpstr>
      <vt:lpstr>oxal1</vt:lpstr>
      <vt:lpstr>oxal2</vt:lpstr>
      <vt:lpstr>oxalv1</vt:lpstr>
      <vt:lpstr>oxalv2</vt:lpstr>
      <vt:lpstr>oxalv3</vt:lpstr>
      <vt:lpstr>oxti1</vt:lpstr>
      <vt:lpstr>oxti2</vt:lpstr>
      <vt:lpstr>oxti3</vt:lpstr>
      <vt:lpstr>oxti4</vt:lpstr>
      <vt:lpstr>oxti5</vt:lpstr>
      <vt:lpstr>oxti7</vt:lpstr>
      <vt:lpstr>oxti8</vt:lpstr>
      <vt:lpstr>oxti9</vt:lpstr>
      <vt:lpstr>oxtio2</vt:lpstr>
      <vt:lpstr>DateIntrare!Print_Area</vt:lpstr>
      <vt:lpstr>valv1</vt:lpstr>
      <vt:lpstr>valv2</vt:lpstr>
      <vt:lpstr>valv3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Racasanu Georgeta</dc:creator>
  <cp:lastModifiedBy>Georgeta Racasanu</cp:lastModifiedBy>
  <cp:lastPrinted>2025-05-23T08:24:18Z</cp:lastPrinted>
  <dcterms:created xsi:type="dcterms:W3CDTF">2016-07-14T06:25:58Z</dcterms:created>
  <dcterms:modified xsi:type="dcterms:W3CDTF">2025-05-23T12:45:08Z</dcterms:modified>
</cp:coreProperties>
</file>