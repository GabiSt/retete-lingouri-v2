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0.155.14.241\data\PUBLIC\TEHNIC\Comenzi 2026\Comenzi interne 800-999( Lingouri)\Cda 26841-Ti4321-3VAR600-4lg\"/>
    </mc:Choice>
  </mc:AlternateContent>
  <xr:revisionPtr revIDLastSave="0" documentId="13_ncr:1_{8D000968-8596-4228-A463-C33B0E558F15}" xr6:coauthVersionLast="47" xr6:coauthVersionMax="47" xr10:uidLastSave="{00000000-0000-0000-0000-000000000000}"/>
  <bookViews>
    <workbookView xWindow="-108" yWindow="-108" windowWidth="23256" windowHeight="12576" tabRatio="985" activeTab="1" xr2:uid="{00000000-000D-0000-FFFF-FFFF00000000}"/>
  </bookViews>
  <sheets>
    <sheet name="DateIntrare" sheetId="1" r:id="rId1"/>
    <sheet name="Bilant" sheetId="2" r:id="rId2"/>
    <sheet name="RetDozare" sheetId="3" r:id="rId3"/>
  </sheets>
  <definedNames>
    <definedName name="Al_max">DateIntrare!#REF!</definedName>
    <definedName name="Al_min">DateIntrare!#REF!</definedName>
    <definedName name="alalv1">DateIntrare!$I$46</definedName>
    <definedName name="alalv2">DateIntrare!$I$50</definedName>
    <definedName name="alalv3">DateIntrare!$I$54</definedName>
    <definedName name="astm">DateIntrare!$A$3</definedName>
    <definedName name="C_max">DateIntrare!#REF!</definedName>
    <definedName name="cerclient">DateIntrare!#REF!</definedName>
    <definedName name="comanda">DateIntrare!$H$3</definedName>
    <definedName name="concal1">DateIntrare!#REF!</definedName>
    <definedName name="concal2">DateIntrare!$I$62</definedName>
    <definedName name="concfe1">DateIntrare!$E$70</definedName>
    <definedName name="dozal">RetDozare!#REF!</definedName>
    <definedName name="dozfe">RetDozare!#REF!</definedName>
    <definedName name="dozo">RetDozare!#REF!</definedName>
    <definedName name="dozv">RetDozare!#REF!</definedName>
    <definedName name="Fe_max">DateIntrare!#REF!</definedName>
    <definedName name="Fe_min">DateIntrare!#REF!</definedName>
    <definedName name="feal1">DateIntrare!$E$58</definedName>
    <definedName name="feal2">DateIntrare!$E$62</definedName>
    <definedName name="fealv1">DateIntrare!$E$46</definedName>
    <definedName name="fealv2">DateIntrare!$E$50</definedName>
    <definedName name="fealv3">DateIntrare!$E$54</definedName>
    <definedName name="feti1">DateIntrare!$E$13</definedName>
    <definedName name="feti10">DateIntrare!#REF!</definedName>
    <definedName name="feti2">DateIntrare!$E$17</definedName>
    <definedName name="feti3">DateIntrare!$E$21</definedName>
    <definedName name="feti4">DateIntrare!$E$25</definedName>
    <definedName name="feti5">DateIntrare!$E$29</definedName>
    <definedName name="feti6">DateIntrare!#REF!</definedName>
    <definedName name="feti7">DateIntrare!$E$33</definedName>
    <definedName name="feti8">DateIntrare!$E$37</definedName>
    <definedName name="feti9">DateIntrare!$E$41</definedName>
    <definedName name="fetirest">NA()</definedName>
    <definedName name="H_max">DateIntrare!#REF!</definedName>
    <definedName name="lotal1">DateIntrare!$B$56</definedName>
    <definedName name="lotal2">DateIntrare!$B$60</definedName>
    <definedName name="lotalv1">DateIntrare!$B$44</definedName>
    <definedName name="lotalv2">DateIntrare!$B$48</definedName>
    <definedName name="lotalv3">DateIntrare!$B$52</definedName>
    <definedName name="lotfe1">DateIntrare!$B$68</definedName>
    <definedName name="lotrest">NA()</definedName>
    <definedName name="lotti1">DateIntrare!$B$11</definedName>
    <definedName name="lotti10">DateIntrare!#REF!</definedName>
    <definedName name="lotti2">DateIntrare!$B$15</definedName>
    <definedName name="lotti3">DateIntrare!$B$19</definedName>
    <definedName name="lotti4">DateIntrare!$B$23</definedName>
    <definedName name="lotti5">DateIntrare!$B$27</definedName>
    <definedName name="lotti6">DateIntrare!#REF!</definedName>
    <definedName name="lotti7">DateIntrare!$B$31</definedName>
    <definedName name="lotti8">DateIntrare!$B$35</definedName>
    <definedName name="lotti9">DateIntrare!$B$39</definedName>
    <definedName name="lottio2">DateIntrare!$B$75</definedName>
    <definedName name="N_max">DateIntrare!#REF!</definedName>
    <definedName name="nrpresbara">Bilant!$C$10</definedName>
    <definedName name="O_max">DateIntrare!#REF!</definedName>
    <definedName name="O_min">DateIntrare!#REF!</definedName>
    <definedName name="oxal1">DateIntrare!$D$58</definedName>
    <definedName name="oxal2">DateIntrare!$D$62</definedName>
    <definedName name="oxalv1">DateIntrare!$D$46</definedName>
    <definedName name="oxalv2">DateIntrare!$D$50</definedName>
    <definedName name="oxalv3">DateIntrare!$D$54</definedName>
    <definedName name="oxti1">DateIntrare!$D$13</definedName>
    <definedName name="oxti10">DateIntrare!#REF!</definedName>
    <definedName name="oxti2">DateIntrare!$D$17</definedName>
    <definedName name="oxti3">DateIntrare!$D$21</definedName>
    <definedName name="oxti4">DateIntrare!$D$25</definedName>
    <definedName name="oxti5">DateIntrare!$D$29</definedName>
    <definedName name="oxti6">DateIntrare!#REF!</definedName>
    <definedName name="oxti7">DateIntrare!$D$33</definedName>
    <definedName name="oxti8">DateIntrare!$D$37</definedName>
    <definedName name="oxti9">DateIntrare!$D$41</definedName>
    <definedName name="oxtio2">DateIntrare!$D$77</definedName>
    <definedName name="oxtirest">NA()</definedName>
    <definedName name="_xlnm.Print_Area" localSheetId="2">RetDozare!$A$1:$N$187</definedName>
    <definedName name="Tinta">DateIntrare!#REF!</definedName>
    <definedName name="tintaAl">DateIntrare!#REF!</definedName>
    <definedName name="tintaFe">DateIntrare!#REF!</definedName>
    <definedName name="tintaO">DateIntrare!#REF!</definedName>
    <definedName name="tintaV">DateIntrare!#REF!</definedName>
    <definedName name="V_max">DateIntrare!#REF!</definedName>
    <definedName name="V_min">DateIntrare!#REF!</definedName>
    <definedName name="valv1">DateIntrare!$H$46</definedName>
    <definedName name="valv2">DateIntrare!$H$50</definedName>
    <definedName name="valv3">DateIntrare!$H$54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9" i="3" l="1"/>
  <c r="A185" i="3"/>
  <c r="G178" i="3"/>
  <c r="G182" i="3" s="1"/>
  <c r="G185" i="3" s="1"/>
  <c r="F178" i="3"/>
  <c r="E178" i="3"/>
  <c r="D178" i="3"/>
  <c r="C178" i="3"/>
  <c r="D172" i="3"/>
  <c r="D170" i="3"/>
  <c r="B169" i="3"/>
  <c r="A153" i="3"/>
  <c r="D123" i="3"/>
  <c r="D84" i="3"/>
  <c r="D52" i="3"/>
  <c r="C58" i="2" l="1"/>
  <c r="C59" i="2"/>
  <c r="A148" i="3"/>
  <c r="G141" i="3"/>
  <c r="G145" i="3" s="1"/>
  <c r="G148" i="3" s="1"/>
  <c r="F141" i="3"/>
  <c r="E141" i="3"/>
  <c r="D141" i="3"/>
  <c r="C141" i="3"/>
  <c r="D135" i="3"/>
  <c r="D133" i="3"/>
  <c r="B132" i="3"/>
  <c r="A116" i="3"/>
  <c r="A78" i="3"/>
  <c r="B94" i="3"/>
  <c r="D95" i="3"/>
  <c r="D97" i="3"/>
  <c r="C103" i="3"/>
  <c r="D103" i="3"/>
  <c r="E103" i="3"/>
  <c r="F103" i="3"/>
  <c r="G103" i="3"/>
  <c r="G107" i="3" s="1"/>
  <c r="G110" i="3" s="1"/>
  <c r="A110" i="3"/>
  <c r="A73" i="3"/>
  <c r="G66" i="3"/>
  <c r="F66" i="3"/>
  <c r="E66" i="3"/>
  <c r="D66" i="3"/>
  <c r="C66" i="3"/>
  <c r="D60" i="3"/>
  <c r="D58" i="3"/>
  <c r="B57" i="3"/>
  <c r="A41" i="3"/>
  <c r="C66" i="2" l="1"/>
  <c r="C57" i="2"/>
  <c r="K14" i="2"/>
  <c r="K10" i="2"/>
  <c r="K13" i="2"/>
  <c r="G66" i="1"/>
  <c r="G62" i="3" s="1"/>
  <c r="G70" i="3" s="1"/>
  <c r="G73" i="3" s="1"/>
  <c r="G29" i="3"/>
  <c r="C67" i="2"/>
  <c r="C45" i="2"/>
  <c r="C42" i="2"/>
  <c r="I38" i="2"/>
  <c r="C38" i="2"/>
  <c r="K12" i="2"/>
  <c r="K11" i="2"/>
  <c r="E21" i="1"/>
  <c r="D21" i="1"/>
  <c r="E17" i="1"/>
  <c r="B98" i="3" s="1"/>
  <c r="D17" i="1"/>
  <c r="B97" i="3" s="1"/>
  <c r="D15" i="3"/>
  <c r="M12" i="3" s="1"/>
  <c r="G62" i="1"/>
  <c r="G25" i="3" s="1"/>
  <c r="D13" i="3"/>
  <c r="N12" i="3" s="1"/>
  <c r="H46" i="1"/>
  <c r="I46" i="1"/>
  <c r="E46" i="1"/>
  <c r="I58" i="1"/>
  <c r="E12" i="3"/>
  <c r="B135" i="3" l="1"/>
  <c r="B172" i="3"/>
  <c r="B136" i="3"/>
  <c r="B173" i="3"/>
  <c r="C98" i="3"/>
  <c r="C61" i="3"/>
  <c r="C95" i="3"/>
  <c r="C58" i="3"/>
  <c r="C59" i="3"/>
  <c r="C96" i="3"/>
  <c r="C29" i="3"/>
  <c r="D29" i="3"/>
  <c r="E29" i="3"/>
  <c r="F29" i="3"/>
  <c r="C107" i="3" l="1"/>
  <c r="C108" i="3"/>
  <c r="D108" i="3" s="1"/>
  <c r="B108" i="3" s="1"/>
  <c r="C71" i="3"/>
  <c r="D71" i="3" s="1"/>
  <c r="B71" i="3" s="1"/>
  <c r="C70" i="3"/>
  <c r="G33" i="3"/>
  <c r="G36" i="3" s="1"/>
  <c r="M13" i="3" s="1"/>
  <c r="M14" i="3" s="1"/>
  <c r="M15" i="3" s="1"/>
  <c r="D14" i="3"/>
  <c r="D12" i="3"/>
  <c r="D11" i="3"/>
  <c r="D10" i="3"/>
  <c r="E58" i="1"/>
  <c r="D173" i="3" s="1"/>
  <c r="M49" i="3" l="1"/>
  <c r="M50" i="3" s="1"/>
  <c r="M51" i="3" s="1"/>
  <c r="M16" i="3"/>
  <c r="C110" i="3"/>
  <c r="D107" i="3"/>
  <c r="D110" i="3" s="1"/>
  <c r="D98" i="3"/>
  <c r="D136" i="3"/>
  <c r="D61" i="3"/>
  <c r="B107" i="3"/>
  <c r="C73" i="3"/>
  <c r="D70" i="3"/>
  <c r="D73" i="3" s="1"/>
  <c r="D46" i="1"/>
  <c r="M52" i="3" l="1"/>
  <c r="D89" i="3"/>
  <c r="M86" i="3" s="1"/>
  <c r="M87" i="3" s="1"/>
  <c r="M88" i="3" s="1"/>
  <c r="M89" i="3" s="1"/>
  <c r="M90" i="3" s="1"/>
  <c r="M91" i="3" s="1"/>
  <c r="M92" i="3" s="1"/>
  <c r="M93" i="3" s="1"/>
  <c r="B110" i="3"/>
  <c r="F107" i="3"/>
  <c r="F110" i="3" s="1"/>
  <c r="B70" i="3"/>
  <c r="B73" i="3"/>
  <c r="C60" i="3"/>
  <c r="C97" i="3"/>
  <c r="D21" i="3"/>
  <c r="M94" i="3" l="1"/>
  <c r="D127" i="3"/>
  <c r="E13" i="1"/>
  <c r="B61" i="3" s="1"/>
  <c r="D13" i="1"/>
  <c r="C65" i="2"/>
  <c r="C73" i="2" s="1"/>
  <c r="G41" i="1"/>
  <c r="F41" i="1"/>
  <c r="E41" i="1"/>
  <c r="D41" i="1"/>
  <c r="G37" i="1"/>
  <c r="F37" i="1"/>
  <c r="E37" i="1"/>
  <c r="D37" i="1"/>
  <c r="E33" i="1"/>
  <c r="D33" i="1"/>
  <c r="B24" i="3"/>
  <c r="I50" i="1"/>
  <c r="H50" i="1"/>
  <c r="E50" i="1"/>
  <c r="D50" i="1"/>
  <c r="D14" i="2"/>
  <c r="A3" i="2"/>
  <c r="H3" i="2"/>
  <c r="C15" i="2"/>
  <c r="D17" i="2"/>
  <c r="H60" i="2" s="1"/>
  <c r="H68" i="2" s="1"/>
  <c r="H75" i="2" s="1"/>
  <c r="C18" i="2"/>
  <c r="I18" i="2"/>
  <c r="C22" i="2"/>
  <c r="D22" i="2" s="1"/>
  <c r="C28" i="2" s="1"/>
  <c r="I28" i="2"/>
  <c r="C32" i="2"/>
  <c r="D45" i="2"/>
  <c r="D51" i="2" s="1"/>
  <c r="D53" i="2" s="1"/>
  <c r="F53" i="2" s="1"/>
  <c r="D56" i="2" s="1"/>
  <c r="D64" i="2" s="1"/>
  <c r="D72" i="2" s="1"/>
  <c r="D54" i="1"/>
  <c r="E54" i="1"/>
  <c r="H54" i="1"/>
  <c r="I54" i="1"/>
  <c r="E70" i="1"/>
  <c r="D77" i="1"/>
  <c r="E172" i="3" s="1"/>
  <c r="E169" i="3" s="1"/>
  <c r="A4" i="3"/>
  <c r="I12" i="3"/>
  <c r="J12" i="3"/>
  <c r="K12" i="3"/>
  <c r="L12" i="3"/>
  <c r="B20" i="3"/>
  <c r="D23" i="3"/>
  <c r="D24" i="3"/>
  <c r="A36" i="3"/>
  <c r="C170" i="3" l="1"/>
  <c r="C133" i="3"/>
  <c r="C171" i="3"/>
  <c r="C134" i="3"/>
  <c r="C173" i="3"/>
  <c r="C136" i="3"/>
  <c r="C172" i="3"/>
  <c r="C135" i="3"/>
  <c r="E135" i="3"/>
  <c r="E60" i="3"/>
  <c r="E57" i="3" s="1"/>
  <c r="E97" i="3"/>
  <c r="B23" i="3"/>
  <c r="B60" i="3"/>
  <c r="F70" i="3"/>
  <c r="F73" i="3" s="1"/>
  <c r="E23" i="3"/>
  <c r="D13" i="2"/>
  <c r="C19" i="2" s="1"/>
  <c r="K21" i="2"/>
  <c r="D48" i="2"/>
  <c r="D50" i="2" s="1"/>
  <c r="F50" i="2" s="1"/>
  <c r="D55" i="2" s="1"/>
  <c r="D63" i="2" s="1"/>
  <c r="D71" i="2" s="1"/>
  <c r="C60" i="2"/>
  <c r="C68" i="2" s="1"/>
  <c r="C75" i="2" s="1"/>
  <c r="G47" i="2"/>
  <c r="C16" i="2"/>
  <c r="D16" i="2" s="1"/>
  <c r="C20" i="2" s="1"/>
  <c r="D20" i="2" s="1"/>
  <c r="C24" i="2" s="1"/>
  <c r="C23" i="3"/>
  <c r="K22" i="2"/>
  <c r="C24" i="3"/>
  <c r="C21" i="3"/>
  <c r="K19" i="2"/>
  <c r="C145" i="3" l="1"/>
  <c r="C146" i="3"/>
  <c r="D146" i="3" s="1"/>
  <c r="B146" i="3" s="1"/>
  <c r="C183" i="3"/>
  <c r="D183" i="3" s="1"/>
  <c r="B183" i="3" s="1"/>
  <c r="E183" i="3" s="1"/>
  <c r="C182" i="3"/>
  <c r="E71" i="3"/>
  <c r="E94" i="3"/>
  <c r="E108" i="3"/>
  <c r="E107" i="3"/>
  <c r="E110" i="3" s="1"/>
  <c r="E70" i="3"/>
  <c r="E73" i="3" s="1"/>
  <c r="E132" i="3"/>
  <c r="E146" i="3"/>
  <c r="M124" i="3"/>
  <c r="M125" i="3" s="1"/>
  <c r="M126" i="3" s="1"/>
  <c r="E20" i="3"/>
  <c r="I20" i="2"/>
  <c r="D19" i="2"/>
  <c r="I19" i="2" s="1"/>
  <c r="D145" i="3" l="1"/>
  <c r="D148" i="3" s="1"/>
  <c r="C148" i="3"/>
  <c r="B145" i="3"/>
  <c r="C185" i="3"/>
  <c r="D182" i="3"/>
  <c r="D185" i="3" s="1"/>
  <c r="B182" i="3"/>
  <c r="M127" i="3"/>
  <c r="D164" i="3"/>
  <c r="M161" i="3" s="1"/>
  <c r="M162" i="3" s="1"/>
  <c r="M163" i="3" s="1"/>
  <c r="J66" i="1" s="1"/>
  <c r="J65" i="1" s="1"/>
  <c r="C23" i="2"/>
  <c r="D23" i="2" s="1"/>
  <c r="C29" i="2" s="1"/>
  <c r="B148" i="3" l="1"/>
  <c r="F145" i="3"/>
  <c r="F148" i="3" s="1"/>
  <c r="E145" i="3"/>
  <c r="E148" i="3" s="1"/>
  <c r="B185" i="3"/>
  <c r="E182" i="3"/>
  <c r="E185" i="3" s="1"/>
  <c r="F182" i="3"/>
  <c r="F185" i="3" s="1"/>
  <c r="D24" i="2"/>
  <c r="G24" i="2" l="1"/>
  <c r="C26" i="2"/>
  <c r="D26" i="2" s="1"/>
  <c r="C30" i="2" s="1"/>
  <c r="D30" i="2" s="1"/>
  <c r="D29" i="2" s="1"/>
  <c r="C34" i="2" l="1"/>
  <c r="I29" i="2"/>
  <c r="I30" i="2"/>
  <c r="C33" i="2" l="1"/>
  <c r="D33" i="2" l="1"/>
  <c r="D34" i="2"/>
  <c r="C36" i="2" l="1"/>
  <c r="D36" i="2" s="1"/>
  <c r="C40" i="2" s="1"/>
  <c r="D40" i="2" s="1"/>
  <c r="C44" i="2" s="1"/>
  <c r="C39" i="2"/>
  <c r="F34" i="2"/>
  <c r="D57" i="2" s="1"/>
  <c r="D65" i="2" s="1"/>
  <c r="D73" i="2" s="1"/>
  <c r="G34" i="2"/>
  <c r="D60" i="2" s="1"/>
  <c r="D68" i="2" s="1"/>
  <c r="D75" i="2" s="1"/>
  <c r="D39" i="2" l="1"/>
  <c r="I40" i="2"/>
  <c r="K20" i="2"/>
  <c r="C55" i="2" s="1"/>
  <c r="C22" i="3"/>
  <c r="C34" i="3" s="1"/>
  <c r="D34" i="3" s="1"/>
  <c r="B34" i="3" s="1"/>
  <c r="E34" i="3" s="1"/>
  <c r="C56" i="2" l="1"/>
  <c r="C64" i="2" s="1"/>
  <c r="I39" i="2"/>
  <c r="C43" i="2"/>
  <c r="D43" i="2" s="1"/>
  <c r="C33" i="3"/>
  <c r="C54" i="2" l="1"/>
  <c r="C62" i="2"/>
  <c r="C63" i="2"/>
  <c r="D44" i="2"/>
  <c r="C46" i="2"/>
  <c r="D46" i="2" s="1"/>
  <c r="D47" i="2" s="1"/>
  <c r="D54" i="2" s="1"/>
  <c r="D62" i="2" s="1"/>
  <c r="D70" i="2" s="1"/>
  <c r="D33" i="3"/>
  <c r="D36" i="3" s="1"/>
  <c r="K13" i="3" s="1"/>
  <c r="C36" i="3"/>
  <c r="J13" i="3" s="1"/>
  <c r="B33" i="3" l="1"/>
  <c r="C47" i="2"/>
  <c r="G44" i="2"/>
  <c r="F44" i="2"/>
  <c r="J14" i="3"/>
  <c r="K14" i="3"/>
  <c r="F33" i="3" l="1"/>
  <c r="F36" i="3" s="1"/>
  <c r="N13" i="3" s="1"/>
  <c r="N14" i="3" s="1"/>
  <c r="N15" i="3" s="1"/>
  <c r="E33" i="3"/>
  <c r="E36" i="3" s="1"/>
  <c r="L13" i="3" s="1"/>
  <c r="L14" i="3" s="1"/>
  <c r="B36" i="3"/>
  <c r="I13" i="3" s="1"/>
  <c r="I14" i="3" s="1"/>
  <c r="I15" i="3" s="1"/>
  <c r="D47" i="3" s="1"/>
  <c r="K15" i="3"/>
  <c r="D49" i="3" s="1"/>
  <c r="J15" i="3"/>
  <c r="D48" i="3" s="1"/>
  <c r="D50" i="3" l="1"/>
  <c r="N16" i="3"/>
  <c r="I49" i="3"/>
  <c r="I50" i="3" s="1"/>
  <c r="I51" i="3" s="1"/>
  <c r="I16" i="3"/>
  <c r="K16" i="3"/>
  <c r="K49" i="3"/>
  <c r="K50" i="3" s="1"/>
  <c r="K51" i="3" s="1"/>
  <c r="D86" i="3" s="1"/>
  <c r="J16" i="3"/>
  <c r="J49" i="3"/>
  <c r="J50" i="3" s="1"/>
  <c r="J51" i="3" s="1"/>
  <c r="D85" i="3" s="1"/>
  <c r="N49" i="3"/>
  <c r="N50" i="3" s="1"/>
  <c r="N51" i="3" s="1"/>
  <c r="L15" i="3"/>
  <c r="D51" i="3" s="1"/>
  <c r="I86" i="3" l="1"/>
  <c r="I87" i="3" s="1"/>
  <c r="I88" i="3" s="1"/>
  <c r="I89" i="3" s="1"/>
  <c r="I90" i="3" s="1"/>
  <c r="I91" i="3" s="1"/>
  <c r="I92" i="3" s="1"/>
  <c r="I93" i="3" s="1"/>
  <c r="I52" i="3"/>
  <c r="N52" i="3"/>
  <c r="D87" i="3"/>
  <c r="N86" i="3" s="1"/>
  <c r="N87" i="3" s="1"/>
  <c r="N88" i="3" s="1"/>
  <c r="N89" i="3" s="1"/>
  <c r="N90" i="3" s="1"/>
  <c r="N91" i="3" s="1"/>
  <c r="N92" i="3" s="1"/>
  <c r="N93" i="3" s="1"/>
  <c r="J52" i="3"/>
  <c r="K52" i="3"/>
  <c r="L16" i="3"/>
  <c r="D125" i="3" l="1"/>
  <c r="N124" i="3" s="1"/>
  <c r="N94" i="3"/>
  <c r="I94" i="3"/>
  <c r="D122" i="3"/>
  <c r="I124" i="3" s="1"/>
  <c r="I125" i="3" s="1"/>
  <c r="K86" i="3"/>
  <c r="J86" i="3"/>
  <c r="J87" i="3" s="1"/>
  <c r="J88" i="3" s="1"/>
  <c r="J89" i="3" s="1"/>
  <c r="J90" i="3" s="1"/>
  <c r="J91" i="3" s="1"/>
  <c r="J92" i="3" s="1"/>
  <c r="L49" i="3"/>
  <c r="L50" i="3" s="1"/>
  <c r="L51" i="3" s="1"/>
  <c r="D88" i="3" s="1"/>
  <c r="L52" i="3" l="1"/>
  <c r="N125" i="3"/>
  <c r="N126" i="3" s="1"/>
  <c r="J93" i="3"/>
  <c r="K87" i="3"/>
  <c r="K88" i="3" s="1"/>
  <c r="K89" i="3" s="1"/>
  <c r="K90" i="3" s="1"/>
  <c r="K91" i="3" s="1"/>
  <c r="K92" i="3" s="1"/>
  <c r="L86" i="3"/>
  <c r="L87" i="3" s="1"/>
  <c r="L88" i="3" s="1"/>
  <c r="L89" i="3" s="1"/>
  <c r="L90" i="3" s="1"/>
  <c r="L91" i="3" s="1"/>
  <c r="L92" i="3" s="1"/>
  <c r="I126" i="3"/>
  <c r="I161" i="3" l="1"/>
  <c r="I162" i="3" s="1"/>
  <c r="I163" i="3" s="1"/>
  <c r="J21" i="1" s="1"/>
  <c r="J20" i="1" s="1"/>
  <c r="I127" i="3"/>
  <c r="D162" i="3"/>
  <c r="N161" i="3" s="1"/>
  <c r="N162" i="3" s="1"/>
  <c r="N163" i="3" s="1"/>
  <c r="J70" i="1" s="1"/>
  <c r="J69" i="1" s="1"/>
  <c r="N127" i="3"/>
  <c r="J94" i="3"/>
  <c r="J124" i="3"/>
  <c r="J125" i="3" s="1"/>
  <c r="J126" i="3" s="1"/>
  <c r="K93" i="3"/>
  <c r="L93" i="3"/>
  <c r="D160" i="3" l="1"/>
  <c r="J161" i="3" s="1"/>
  <c r="J162" i="3" s="1"/>
  <c r="J163" i="3" s="1"/>
  <c r="J50" i="1" s="1"/>
  <c r="J49" i="1" s="1"/>
  <c r="J127" i="3"/>
  <c r="K94" i="3"/>
  <c r="D124" i="3"/>
  <c r="K124" i="3" s="1"/>
  <c r="K125" i="3" s="1"/>
  <c r="K126" i="3" s="1"/>
  <c r="L94" i="3"/>
  <c r="D126" i="3"/>
  <c r="L124" i="3" s="1"/>
  <c r="L125" i="3" s="1"/>
  <c r="L126" i="3" s="1"/>
  <c r="D161" i="3" l="1"/>
  <c r="K161" i="3" s="1"/>
  <c r="K162" i="3" s="1"/>
  <c r="K163" i="3" s="1"/>
  <c r="J58" i="1" s="1"/>
  <c r="J57" i="1" s="1"/>
  <c r="K127" i="3"/>
  <c r="L127" i="3"/>
  <c r="D163" i="3"/>
  <c r="L161" i="3" s="1"/>
  <c r="L162" i="3" s="1"/>
  <c r="L163" i="3" s="1"/>
  <c r="J77" i="1" s="1"/>
  <c r="J76" i="1" s="1"/>
</calcChain>
</file>

<file path=xl/sharedStrings.xml><?xml version="1.0" encoding="utf-8"?>
<sst xmlns="http://schemas.openxmlformats.org/spreadsheetml/2006/main" count="657" uniqueCount="146">
  <si>
    <t>Comanda</t>
  </si>
  <si>
    <t>O min</t>
  </si>
  <si>
    <t>O max</t>
  </si>
  <si>
    <t>Fe max</t>
  </si>
  <si>
    <t>H max</t>
  </si>
  <si>
    <t>Al min</t>
  </si>
  <si>
    <t>Al max</t>
  </si>
  <si>
    <t>V min</t>
  </si>
  <si>
    <t>V max</t>
  </si>
  <si>
    <t>LOT</t>
  </si>
  <si>
    <t>O</t>
  </si>
  <si>
    <t>Fe</t>
  </si>
  <si>
    <t>N</t>
  </si>
  <si>
    <t>V</t>
  </si>
  <si>
    <t>Al</t>
  </si>
  <si>
    <t>[Kg]</t>
  </si>
  <si>
    <t>Ti Burete</t>
  </si>
  <si>
    <t>CC</t>
  </si>
  <si>
    <t>TG100</t>
  </si>
  <si>
    <t>BA</t>
  </si>
  <si>
    <t>consum</t>
  </si>
  <si>
    <t>-30+10</t>
  </si>
  <si>
    <t>media</t>
  </si>
  <si>
    <t>rest</t>
  </si>
  <si>
    <t>Aliaj AlV</t>
  </si>
  <si>
    <t>Al metal</t>
  </si>
  <si>
    <t>Fe metal</t>
  </si>
  <si>
    <t>TiO2</t>
  </si>
  <si>
    <t>kronos</t>
  </si>
  <si>
    <t>Bilant teoretic</t>
  </si>
  <si>
    <t>Intrare</t>
  </si>
  <si>
    <t>Iesire</t>
  </si>
  <si>
    <t>Titan R</t>
  </si>
  <si>
    <t>Deseu</t>
  </si>
  <si>
    <t>Pierd</t>
  </si>
  <si>
    <t>Conc.in bara</t>
  </si>
  <si>
    <t>Pres</t>
  </si>
  <si>
    <t>P [nr]</t>
  </si>
  <si>
    <t>[Kg/portie]</t>
  </si>
  <si>
    <t>D[mm]</t>
  </si>
  <si>
    <t>L[mm]</t>
  </si>
  <si>
    <t>Sudura I</t>
  </si>
  <si>
    <t>[buc./semib.]</t>
  </si>
  <si>
    <t>Prealiaj AlV</t>
  </si>
  <si>
    <t>lot</t>
  </si>
  <si>
    <t>Top I</t>
  </si>
  <si>
    <t>Lingou LI</t>
  </si>
  <si>
    <t>Amrs</t>
  </si>
  <si>
    <t>Stub</t>
  </si>
  <si>
    <t>Strnj I</t>
  </si>
  <si>
    <t>Sp. I</t>
  </si>
  <si>
    <t>Sudura II</t>
  </si>
  <si>
    <t>Top II</t>
  </si>
  <si>
    <t>Lingou LII</t>
  </si>
  <si>
    <t>Strnj II</t>
  </si>
  <si>
    <t>Sp. R, I</t>
  </si>
  <si>
    <t>Debit II</t>
  </si>
  <si>
    <t>Sp.I</t>
  </si>
  <si>
    <t>Cap</t>
  </si>
  <si>
    <t>Cap R</t>
  </si>
  <si>
    <t>Picior II R</t>
  </si>
  <si>
    <t>Pic. II R</t>
  </si>
  <si>
    <t>Mat. Int.</t>
  </si>
  <si>
    <t>Ti</t>
  </si>
  <si>
    <t xml:space="preserve"> Lingou</t>
  </si>
  <si>
    <t>40Al60V</t>
  </si>
  <si>
    <t xml:space="preserve"> Cap R</t>
  </si>
  <si>
    <t xml:space="preserve"> Pic. II R</t>
  </si>
  <si>
    <t xml:space="preserve"> Sp. R</t>
  </si>
  <si>
    <t>Amrs.</t>
  </si>
  <si>
    <t xml:space="preserve"> Pierd</t>
  </si>
  <si>
    <t>total</t>
  </si>
  <si>
    <t>Lingouri</t>
  </si>
  <si>
    <t>Nr.lingouri</t>
  </si>
  <si>
    <t xml:space="preserve"> </t>
  </si>
  <si>
    <t>Reteta</t>
  </si>
  <si>
    <t>Burete Ti</t>
  </si>
  <si>
    <t>Prealiaj V Al</t>
  </si>
  <si>
    <t>Bilant presare [Kg]</t>
  </si>
  <si>
    <t>Al (metal)</t>
  </si>
  <si>
    <t>AlV</t>
  </si>
  <si>
    <t>Fe (metal)</t>
  </si>
  <si>
    <t>TiO2 (pulv.)</t>
  </si>
  <si>
    <t>Initial</t>
  </si>
  <si>
    <t>Aliaj Al V</t>
  </si>
  <si>
    <t>[%] Ti</t>
  </si>
  <si>
    <t>[%] Al</t>
  </si>
  <si>
    <t>[%] V</t>
  </si>
  <si>
    <t>[%] O</t>
  </si>
  <si>
    <t>[%] Fe</t>
  </si>
  <si>
    <t>Concentratii
In bara</t>
  </si>
  <si>
    <t>bal.</t>
  </si>
  <si>
    <t>DOZARE PORTIE [Kg]</t>
  </si>
  <si>
    <t>PORTIE</t>
  </si>
  <si>
    <t>Nr.Pres.</t>
  </si>
  <si>
    <t>[kg]</t>
  </si>
  <si>
    <t>B 1</t>
  </si>
  <si>
    <t>TG90</t>
  </si>
  <si>
    <t>stc.in.</t>
  </si>
  <si>
    <t>Cant.</t>
  </si>
  <si>
    <t>Topit.</t>
  </si>
  <si>
    <t>Cmnd.</t>
  </si>
  <si>
    <t>GfE</t>
  </si>
  <si>
    <t>Sn met</t>
  </si>
  <si>
    <t>Sn</t>
  </si>
  <si>
    <t>Sn metal</t>
  </si>
  <si>
    <t>[%] Sn</t>
  </si>
  <si>
    <t>Fe min</t>
  </si>
  <si>
    <t xml:space="preserve">C </t>
  </si>
  <si>
    <t>0.02-0.005%</t>
  </si>
  <si>
    <t>B 2</t>
  </si>
  <si>
    <t>Sn metalic</t>
  </si>
  <si>
    <t>B 3</t>
  </si>
  <si>
    <t>B 4</t>
  </si>
  <si>
    <t>Tehnologie de prelucrare: presare d=350;  VAR1 d=440;VAR2 d=500;VAR3 d=600 mm</t>
  </si>
  <si>
    <t>Lingou LIII</t>
  </si>
  <si>
    <t>dozare</t>
  </si>
  <si>
    <t>Sudura III</t>
  </si>
  <si>
    <t>Top III</t>
  </si>
  <si>
    <t>Tinta</t>
  </si>
  <si>
    <t>0-0.02%</t>
  </si>
  <si>
    <t>0-0.012%</t>
  </si>
  <si>
    <t>LAP</t>
  </si>
  <si>
    <t>26841</t>
  </si>
  <si>
    <t>Ti 4321</t>
  </si>
  <si>
    <t>260106-44</t>
  </si>
  <si>
    <t>260122-219</t>
  </si>
  <si>
    <t>260124-231</t>
  </si>
  <si>
    <t>W66057809</t>
  </si>
  <si>
    <t>NIR  25.21071</t>
  </si>
  <si>
    <t>B 5</t>
  </si>
  <si>
    <t>B 6</t>
  </si>
  <si>
    <t>B 7</t>
  </si>
  <si>
    <t>B 8</t>
  </si>
  <si>
    <t>B 9</t>
  </si>
  <si>
    <t>B 10</t>
  </si>
  <si>
    <t>B 11</t>
  </si>
  <si>
    <t>B 12</t>
  </si>
  <si>
    <t>B 13</t>
  </si>
  <si>
    <t>B 14</t>
  </si>
  <si>
    <t>B 15</t>
  </si>
  <si>
    <t>B 16</t>
  </si>
  <si>
    <t>26.21035</t>
  </si>
  <si>
    <r>
      <t xml:space="preserve">LOT </t>
    </r>
    <r>
      <rPr>
        <sz val="10"/>
        <color rgb="FF000000"/>
        <rFont val="Calibri"/>
        <family val="2"/>
        <scheme val="minor"/>
      </rPr>
      <t>0087718</t>
    </r>
  </si>
  <si>
    <t>LOT 0087718</t>
  </si>
  <si>
    <r>
      <t>Sp. QST4-A-BL543 Revision 00</t>
    </r>
    <r>
      <rPr>
        <sz val="10"/>
        <rFont val="Calibr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</si>
</sst>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0.0000%"/>
    <numFmt numFmtId="165" formatCode="0.000%"/>
    <numFmt numFmtId="166" formatCode="0.000"/>
    <numFmt numFmtId="167" formatCode="#"/>
    <numFmt numFmtId="168" formatCode="mm/dd/yy"/>
    <numFmt numFmtId="169" formatCode="0.0000"/>
    <numFmt numFmtId="170" formatCode="0.0"/>
    <numFmt numFmtId="171" formatCode="[$$-409]#,##0.00;[Red]&quot;-&quot;[$$-409]#,##0.00"/>
  </numFmts>
  <fonts count="30">
    <font>
      <sz val="10"/>
      <name val="Luxi San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22"/>
      <name val="Calibri"/>
      <family val="2"/>
      <scheme val="minor"/>
    </font>
    <font>
      <sz val="14"/>
      <name val="Calibri  "/>
    </font>
    <font>
      <sz val="10"/>
      <name val="Calibri  "/>
    </font>
    <font>
      <i/>
      <sz val="10"/>
      <name val="Calibri  "/>
    </font>
    <font>
      <sz val="11"/>
      <name val="Arial"/>
      <family val="2"/>
    </font>
    <font>
      <sz val="11"/>
      <name val="Calibri  "/>
    </font>
    <font>
      <sz val="10"/>
      <name val="Luxi Sans"/>
      <family val="2"/>
    </font>
    <font>
      <sz val="8"/>
      <name val="Luxi Sans"/>
      <family val="2"/>
    </font>
    <font>
      <sz val="10"/>
      <name val="Arial"/>
      <family val="2"/>
    </font>
    <font>
      <b/>
      <i/>
      <sz val="16"/>
      <color theme="1"/>
      <name val="Liberation Sans"/>
    </font>
    <font>
      <sz val="11"/>
      <color theme="1"/>
      <name val="Liberation Sans"/>
    </font>
    <font>
      <b/>
      <i/>
      <u/>
      <sz val="11"/>
      <color theme="1"/>
      <name val="Liberation Sans"/>
    </font>
    <font>
      <sz val="12"/>
      <name val="Calibri  "/>
    </font>
    <font>
      <sz val="10"/>
      <name val="Arial"/>
      <family val="2"/>
      <charset val="1"/>
    </font>
    <font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</fills>
  <borders count="6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hair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8"/>
      </bottom>
      <diagonal/>
    </border>
    <border>
      <left style="thin">
        <color indexed="64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hair">
        <color indexed="8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</borders>
  <cellStyleXfs count="20">
    <xf numFmtId="0" fontId="0" fillId="0" borderId="0"/>
    <xf numFmtId="0" fontId="20" fillId="0" borderId="0"/>
    <xf numFmtId="0" fontId="20" fillId="0" borderId="0"/>
    <xf numFmtId="0" fontId="21" fillId="0" borderId="0">
      <alignment horizontal="center"/>
    </xf>
    <xf numFmtId="0" fontId="21" fillId="0" borderId="0">
      <alignment horizontal="center" textRotation="90"/>
    </xf>
    <xf numFmtId="44" fontId="18" fillId="0" borderId="0" applyFont="0" applyFill="0" applyBorder="0" applyAlignment="0" applyProtection="0"/>
    <xf numFmtId="0" fontId="20" fillId="0" borderId="0"/>
    <xf numFmtId="0" fontId="20" fillId="0" borderId="0"/>
    <xf numFmtId="0" fontId="18" fillId="0" borderId="0"/>
    <xf numFmtId="0" fontId="20" fillId="0" borderId="0"/>
    <xf numFmtId="0" fontId="22" fillId="0" borderId="0"/>
    <xf numFmtId="0" fontId="2" fillId="0" borderId="0"/>
    <xf numFmtId="0" fontId="23" fillId="0" borderId="0"/>
    <xf numFmtId="171" fontId="23" fillId="0" borderId="0"/>
    <xf numFmtId="0" fontId="20" fillId="0" borderId="0"/>
    <xf numFmtId="44" fontId="18" fillId="0" borderId="0" applyFon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25" fillId="0" borderId="0"/>
  </cellStyleXfs>
  <cellXfs count="248">
    <xf numFmtId="0" fontId="0" fillId="0" borderId="0" xfId="0"/>
    <xf numFmtId="0" fontId="3" fillId="0" borderId="0" xfId="0" applyFont="1"/>
    <xf numFmtId="10" fontId="3" fillId="0" borderId="0" xfId="0" applyNumberFormat="1" applyFont="1" applyAlignment="1">
      <alignment wrapText="1"/>
    </xf>
    <xf numFmtId="10" fontId="5" fillId="0" borderId="7" xfId="0" applyNumberFormat="1" applyFont="1" applyBorder="1" applyAlignment="1">
      <alignment wrapText="1"/>
    </xf>
    <xf numFmtId="0" fontId="5" fillId="2" borderId="14" xfId="0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164" fontId="3" fillId="0" borderId="7" xfId="0" applyNumberFormat="1" applyFont="1" applyBorder="1" applyAlignment="1">
      <alignment horizontal="right"/>
    </xf>
    <xf numFmtId="0" fontId="4" fillId="0" borderId="9" xfId="0" applyFont="1" applyBorder="1" applyAlignment="1">
      <alignment horizontal="center"/>
    </xf>
    <xf numFmtId="164" fontId="3" fillId="0" borderId="9" xfId="0" applyNumberFormat="1" applyFont="1" applyBorder="1" applyAlignment="1">
      <alignment horizontal="right"/>
    </xf>
    <xf numFmtId="1" fontId="3" fillId="0" borderId="0" xfId="0" applyNumberFormat="1" applyFont="1"/>
    <xf numFmtId="166" fontId="3" fillId="0" borderId="0" xfId="0" applyNumberFormat="1" applyFont="1"/>
    <xf numFmtId="166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0" fontId="3" fillId="0" borderId="7" xfId="0" applyNumberFormat="1" applyFont="1" applyBorder="1" applyAlignment="1">
      <alignment horizontal="right" wrapText="1"/>
    </xf>
    <xf numFmtId="0" fontId="4" fillId="0" borderId="0" xfId="0" applyFont="1" applyAlignment="1">
      <alignment horizontal="center" wrapText="1"/>
    </xf>
    <xf numFmtId="10" fontId="3" fillId="0" borderId="7" xfId="0" applyNumberFormat="1" applyFont="1" applyBorder="1" applyAlignment="1">
      <alignment horizontal="right"/>
    </xf>
    <xf numFmtId="0" fontId="6" fillId="0" borderId="7" xfId="0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3" fillId="0" borderId="7" xfId="0" applyNumberFormat="1" applyFont="1" applyBorder="1"/>
    <xf numFmtId="168" fontId="5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69" fontId="3" fillId="0" borderId="10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3" fillId="0" borderId="12" xfId="0" applyNumberFormat="1" applyFont="1" applyBorder="1" applyAlignment="1">
      <alignment horizontal="right"/>
    </xf>
    <xf numFmtId="169" fontId="3" fillId="0" borderId="13" xfId="0" applyNumberFormat="1" applyFont="1" applyBorder="1" applyAlignment="1">
      <alignment horizontal="center"/>
    </xf>
    <xf numFmtId="0" fontId="5" fillId="0" borderId="0" xfId="0" applyFont="1"/>
    <xf numFmtId="1" fontId="5" fillId="0" borderId="0" xfId="0" applyNumberFormat="1" applyFont="1"/>
    <xf numFmtId="169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169" fontId="4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10" fontId="3" fillId="0" borderId="0" xfId="0" applyNumberFormat="1" applyFont="1" applyAlignment="1">
      <alignment horizontal="right"/>
    </xf>
    <xf numFmtId="166" fontId="5" fillId="0" borderId="1" xfId="0" applyNumberFormat="1" applyFont="1" applyBorder="1"/>
    <xf numFmtId="10" fontId="5" fillId="0" borderId="0" xfId="0" applyNumberFormat="1" applyFont="1" applyAlignment="1">
      <alignment horizontal="right" vertical="center"/>
    </xf>
    <xf numFmtId="166" fontId="3" fillId="0" borderId="7" xfId="0" applyNumberFormat="1" applyFont="1" applyBorder="1"/>
    <xf numFmtId="0" fontId="4" fillId="0" borderId="16" xfId="0" applyFont="1" applyBorder="1" applyAlignment="1">
      <alignment horizont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/>
    <xf numFmtId="10" fontId="8" fillId="0" borderId="0" xfId="0" applyNumberFormat="1" applyFont="1"/>
    <xf numFmtId="49" fontId="9" fillId="0" borderId="0" xfId="0" applyNumberFormat="1" applyFont="1" applyAlignment="1">
      <alignment horizontal="center" wrapText="1"/>
    </xf>
    <xf numFmtId="10" fontId="9" fillId="0" borderId="1" xfId="0" applyNumberFormat="1" applyFont="1" applyBorder="1"/>
    <xf numFmtId="49" fontId="9" fillId="0" borderId="2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4" xfId="0" applyFont="1" applyBorder="1"/>
    <xf numFmtId="166" fontId="8" fillId="0" borderId="1" xfId="0" applyNumberFormat="1" applyFont="1" applyBorder="1"/>
    <xf numFmtId="1" fontId="8" fillId="0" borderId="1" xfId="0" applyNumberFormat="1" applyFont="1" applyBorder="1"/>
    <xf numFmtId="166" fontId="8" fillId="0" borderId="1" xfId="0" applyNumberFormat="1" applyFont="1" applyBorder="1" applyAlignment="1">
      <alignment horizontal="center"/>
    </xf>
    <xf numFmtId="10" fontId="8" fillId="0" borderId="1" xfId="0" applyNumberFormat="1" applyFont="1" applyBorder="1" applyAlignment="1">
      <alignment horizontal="right"/>
    </xf>
    <xf numFmtId="167" fontId="8" fillId="0" borderId="1" xfId="0" applyNumberFormat="1" applyFont="1" applyBorder="1"/>
    <xf numFmtId="1" fontId="8" fillId="0" borderId="3" xfId="0" applyNumberFormat="1" applyFont="1" applyBorder="1" applyAlignment="1">
      <alignment horizontal="right"/>
    </xf>
    <xf numFmtId="1" fontId="8" fillId="0" borderId="8" xfId="0" applyNumberFormat="1" applyFont="1" applyBorder="1"/>
    <xf numFmtId="1" fontId="8" fillId="0" borderId="4" xfId="0" applyNumberFormat="1" applyFont="1" applyBorder="1"/>
    <xf numFmtId="0" fontId="8" fillId="0" borderId="8" xfId="0" applyFont="1" applyBorder="1"/>
    <xf numFmtId="1" fontId="8" fillId="0" borderId="5" xfId="0" applyNumberFormat="1" applyFont="1" applyBorder="1"/>
    <xf numFmtId="1" fontId="8" fillId="0" borderId="9" xfId="0" applyNumberFormat="1" applyFont="1" applyBorder="1"/>
    <xf numFmtId="0" fontId="4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0" fontId="5" fillId="0" borderId="0" xfId="0" applyNumberFormat="1" applyFont="1" applyAlignment="1">
      <alignment horizontal="right"/>
    </xf>
    <xf numFmtId="49" fontId="6" fillId="0" borderId="7" xfId="0" applyNumberFormat="1" applyFont="1" applyBorder="1" applyAlignment="1">
      <alignment horizontal="center"/>
    </xf>
    <xf numFmtId="0" fontId="4" fillId="0" borderId="7" xfId="0" applyFont="1" applyBorder="1"/>
    <xf numFmtId="10" fontId="4" fillId="0" borderId="7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7" xfId="0" applyFont="1" applyBorder="1"/>
    <xf numFmtId="165" fontId="3" fillId="0" borderId="7" xfId="0" applyNumberFormat="1" applyFont="1" applyBorder="1"/>
    <xf numFmtId="10" fontId="3" fillId="0" borderId="7" xfId="0" applyNumberFormat="1" applyFont="1" applyBorder="1"/>
    <xf numFmtId="49" fontId="4" fillId="0" borderId="19" xfId="0" applyNumberFormat="1" applyFont="1" applyBorder="1" applyAlignment="1">
      <alignment horizontal="center"/>
    </xf>
    <xf numFmtId="0" fontId="3" fillId="0" borderId="18" xfId="0" applyFont="1" applyBorder="1"/>
    <xf numFmtId="165" fontId="3" fillId="0" borderId="18" xfId="0" applyNumberFormat="1" applyFont="1" applyBorder="1"/>
    <xf numFmtId="1" fontId="3" fillId="0" borderId="18" xfId="0" applyNumberFormat="1" applyFont="1" applyBorder="1"/>
    <xf numFmtId="49" fontId="4" fillId="0" borderId="7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165" fontId="3" fillId="0" borderId="0" xfId="0" applyNumberFormat="1" applyFont="1"/>
    <xf numFmtId="49" fontId="4" fillId="0" borderId="1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10" fontId="3" fillId="0" borderId="0" xfId="0" applyNumberFormat="1" applyFont="1"/>
    <xf numFmtId="49" fontId="4" fillId="0" borderId="6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1" fontId="11" fillId="0" borderId="7" xfId="0" applyNumberFormat="1" applyFont="1" applyBorder="1"/>
    <xf numFmtId="49" fontId="3" fillId="0" borderId="0" xfId="0" applyNumberFormat="1" applyFont="1"/>
    <xf numFmtId="164" fontId="3" fillId="0" borderId="7" xfId="0" applyNumberFormat="1" applyFont="1" applyBorder="1" applyAlignment="1">
      <alignment horizontal="right" wrapText="1"/>
    </xf>
    <xf numFmtId="10" fontId="3" fillId="0" borderId="7" xfId="0" applyNumberFormat="1" applyFont="1" applyBorder="1" applyAlignment="1">
      <alignment wrapText="1"/>
    </xf>
    <xf numFmtId="0" fontId="3" fillId="0" borderId="7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6" fontId="8" fillId="0" borderId="8" xfId="0" applyNumberFormat="1" applyFont="1" applyBorder="1"/>
    <xf numFmtId="166" fontId="8" fillId="0" borderId="9" xfId="0" applyNumberFormat="1" applyFont="1" applyBorder="1"/>
    <xf numFmtId="0" fontId="8" fillId="0" borderId="7" xfId="0" applyFont="1" applyBorder="1"/>
    <xf numFmtId="167" fontId="8" fillId="0" borderId="4" xfId="0" applyNumberFormat="1" applyFont="1" applyBorder="1"/>
    <xf numFmtId="0" fontId="8" fillId="0" borderId="22" xfId="0" applyFont="1" applyBorder="1"/>
    <xf numFmtId="0" fontId="8" fillId="0" borderId="9" xfId="0" applyFont="1" applyBorder="1"/>
    <xf numFmtId="1" fontId="9" fillId="2" borderId="9" xfId="0" applyNumberFormat="1" applyFont="1" applyFill="1" applyBorder="1"/>
    <xf numFmtId="1" fontId="9" fillId="0" borderId="9" xfId="0" applyNumberFormat="1" applyFont="1" applyBorder="1"/>
    <xf numFmtId="1" fontId="8" fillId="0" borderId="23" xfId="0" applyNumberFormat="1" applyFont="1" applyBorder="1"/>
    <xf numFmtId="166" fontId="8" fillId="0" borderId="25" xfId="0" applyNumberFormat="1" applyFont="1" applyBorder="1"/>
    <xf numFmtId="167" fontId="8" fillId="0" borderId="26" xfId="0" applyNumberFormat="1" applyFont="1" applyBorder="1"/>
    <xf numFmtId="1" fontId="8" fillId="0" borderId="26" xfId="0" applyNumberFormat="1" applyFont="1" applyBorder="1"/>
    <xf numFmtId="0" fontId="8" fillId="0" borderId="26" xfId="0" applyFont="1" applyBorder="1"/>
    <xf numFmtId="1" fontId="8" fillId="0" borderId="27" xfId="0" applyNumberFormat="1" applyFont="1" applyBorder="1"/>
    <xf numFmtId="1" fontId="9" fillId="2" borderId="23" xfId="0" applyNumberFormat="1" applyFont="1" applyFill="1" applyBorder="1"/>
    <xf numFmtId="1" fontId="9" fillId="0" borderId="23" xfId="0" applyNumberFormat="1" applyFont="1" applyBorder="1"/>
    <xf numFmtId="0" fontId="8" fillId="0" borderId="24" xfId="0" applyFont="1" applyBorder="1"/>
    <xf numFmtId="1" fontId="8" fillId="0" borderId="25" xfId="0" applyNumberFormat="1" applyFont="1" applyBorder="1"/>
    <xf numFmtId="1" fontId="8" fillId="0" borderId="30" xfId="0" applyNumberFormat="1" applyFont="1" applyBorder="1"/>
    <xf numFmtId="167" fontId="8" fillId="0" borderId="9" xfId="0" applyNumberFormat="1" applyFont="1" applyBorder="1"/>
    <xf numFmtId="166" fontId="8" fillId="0" borderId="31" xfId="0" applyNumberFormat="1" applyFont="1" applyBorder="1"/>
    <xf numFmtId="0" fontId="8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33" xfId="0" applyFont="1" applyBorder="1" applyAlignment="1">
      <alignment horizontal="center"/>
    </xf>
    <xf numFmtId="0" fontId="8" fillId="0" borderId="25" xfId="0" applyFont="1" applyBorder="1"/>
    <xf numFmtId="0" fontId="8" fillId="0" borderId="34" xfId="0" applyFont="1" applyBorder="1"/>
    <xf numFmtId="166" fontId="8" fillId="0" borderId="26" xfId="0" applyNumberFormat="1" applyFont="1" applyBorder="1"/>
    <xf numFmtId="166" fontId="8" fillId="0" borderId="26" xfId="0" applyNumberFormat="1" applyFont="1" applyBorder="1" applyAlignment="1">
      <alignment horizontal="center"/>
    </xf>
    <xf numFmtId="166" fontId="12" fillId="0" borderId="9" xfId="0" applyNumberFormat="1" applyFont="1" applyBorder="1"/>
    <xf numFmtId="10" fontId="8" fillId="0" borderId="1" xfId="0" applyNumberFormat="1" applyFont="1" applyBorder="1"/>
    <xf numFmtId="0" fontId="14" fillId="0" borderId="35" xfId="0" applyFont="1" applyBorder="1"/>
    <xf numFmtId="165" fontId="14" fillId="0" borderId="8" xfId="0" applyNumberFormat="1" applyFont="1" applyBorder="1"/>
    <xf numFmtId="165" fontId="14" fillId="0" borderId="12" xfId="0" applyNumberFormat="1" applyFont="1" applyBorder="1"/>
    <xf numFmtId="165" fontId="14" fillId="0" borderId="1" xfId="0" applyNumberFormat="1" applyFont="1" applyBorder="1"/>
    <xf numFmtId="49" fontId="15" fillId="0" borderId="16" xfId="0" applyNumberFormat="1" applyFont="1" applyBorder="1" applyAlignment="1">
      <alignment horizontal="center"/>
    </xf>
    <xf numFmtId="1" fontId="14" fillId="0" borderId="7" xfId="0" applyNumberFormat="1" applyFont="1" applyBorder="1"/>
    <xf numFmtId="165" fontId="13" fillId="0" borderId="7" xfId="0" applyNumberFormat="1" applyFont="1" applyBorder="1"/>
    <xf numFmtId="0" fontId="14" fillId="0" borderId="7" xfId="0" applyFont="1" applyBorder="1"/>
    <xf numFmtId="0" fontId="15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8" fillId="0" borderId="41" xfId="0" applyFont="1" applyBorder="1"/>
    <xf numFmtId="0" fontId="8" fillId="0" borderId="37" xfId="0" applyFont="1" applyBorder="1"/>
    <xf numFmtId="166" fontId="8" fillId="0" borderId="41" xfId="0" applyNumberFormat="1" applyFont="1" applyBorder="1"/>
    <xf numFmtId="0" fontId="7" fillId="0" borderId="43" xfId="0" applyFont="1" applyBorder="1" applyAlignment="1">
      <alignment horizontal="center"/>
    </xf>
    <xf numFmtId="166" fontId="8" fillId="0" borderId="7" xfId="0" applyNumberFormat="1" applyFont="1" applyBorder="1"/>
    <xf numFmtId="0" fontId="8" fillId="0" borderId="44" xfId="0" applyFont="1" applyBorder="1"/>
    <xf numFmtId="167" fontId="8" fillId="0" borderId="34" xfId="0" applyNumberFormat="1" applyFont="1" applyBorder="1"/>
    <xf numFmtId="0" fontId="8" fillId="0" borderId="7" xfId="0" applyFont="1" applyBorder="1" applyAlignment="1">
      <alignment horizontal="right"/>
    </xf>
    <xf numFmtId="167" fontId="8" fillId="0" borderId="45" xfId="0" applyNumberFormat="1" applyFont="1" applyBorder="1"/>
    <xf numFmtId="1" fontId="8" fillId="0" borderId="34" xfId="0" applyNumberFormat="1" applyFont="1" applyBorder="1"/>
    <xf numFmtId="1" fontId="8" fillId="0" borderId="44" xfId="0" applyNumberFormat="1" applyFont="1" applyBorder="1"/>
    <xf numFmtId="1" fontId="8" fillId="0" borderId="7" xfId="0" applyNumberFormat="1" applyFont="1" applyBorder="1" applyAlignment="1">
      <alignment horizontal="right"/>
    </xf>
    <xf numFmtId="0" fontId="8" fillId="0" borderId="16" xfId="0" applyFont="1" applyBorder="1"/>
    <xf numFmtId="167" fontId="8" fillId="0" borderId="16" xfId="0" applyNumberFormat="1" applyFont="1" applyBorder="1" applyAlignment="1">
      <alignment horizontal="right"/>
    </xf>
    <xf numFmtId="0" fontId="8" fillId="0" borderId="29" xfId="0" applyFont="1" applyBorder="1"/>
    <xf numFmtId="0" fontId="8" fillId="0" borderId="29" xfId="0" applyFont="1" applyBorder="1" applyAlignment="1">
      <alignment horizontal="right"/>
    </xf>
    <xf numFmtId="1" fontId="8" fillId="0" borderId="29" xfId="0" applyNumberFormat="1" applyFont="1" applyBorder="1" applyAlignment="1">
      <alignment horizontal="right"/>
    </xf>
    <xf numFmtId="49" fontId="4" fillId="0" borderId="36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165" fontId="17" fillId="0" borderId="7" xfId="0" applyNumberFormat="1" applyFont="1" applyBorder="1"/>
    <xf numFmtId="49" fontId="16" fillId="0" borderId="7" xfId="0" applyNumberFormat="1" applyFont="1" applyBorder="1" applyAlignment="1">
      <alignment horizontal="center"/>
    </xf>
    <xf numFmtId="170" fontId="12" fillId="0" borderId="9" xfId="0" applyNumberFormat="1" applyFont="1" applyBorder="1"/>
    <xf numFmtId="0" fontId="3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169" fontId="4" fillId="0" borderId="12" xfId="0" applyNumberFormat="1" applyFont="1" applyBorder="1" applyAlignment="1">
      <alignment horizontal="center"/>
    </xf>
    <xf numFmtId="164" fontId="5" fillId="0" borderId="12" xfId="0" applyNumberFormat="1" applyFont="1" applyBorder="1"/>
    <xf numFmtId="169" fontId="3" fillId="0" borderId="54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right"/>
    </xf>
    <xf numFmtId="1" fontId="17" fillId="0" borderId="7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164" fontId="3" fillId="0" borderId="16" xfId="0" applyNumberFormat="1" applyFont="1" applyBorder="1" applyAlignment="1">
      <alignment horizontal="right" wrapText="1"/>
    </xf>
    <xf numFmtId="0" fontId="4" fillId="0" borderId="35" xfId="0" applyFont="1" applyBorder="1" applyAlignment="1">
      <alignment wrapText="1"/>
    </xf>
    <xf numFmtId="10" fontId="3" fillId="0" borderId="53" xfId="0" applyNumberFormat="1" applyFont="1" applyBorder="1" applyAlignment="1">
      <alignment horizontal="center"/>
    </xf>
    <xf numFmtId="0" fontId="4" fillId="0" borderId="15" xfId="0" applyFont="1" applyBorder="1" applyAlignment="1">
      <alignment horizontal="right" wrapText="1"/>
    </xf>
    <xf numFmtId="49" fontId="5" fillId="0" borderId="55" xfId="0" applyNumberFormat="1" applyFont="1" applyBorder="1" applyAlignment="1">
      <alignment horizontal="center"/>
    </xf>
    <xf numFmtId="1" fontId="3" fillId="0" borderId="1" xfId="0" applyNumberFormat="1" applyFont="1" applyBorder="1"/>
    <xf numFmtId="165" fontId="8" fillId="0" borderId="17" xfId="0" applyNumberFormat="1" applyFont="1" applyBorder="1"/>
    <xf numFmtId="0" fontId="8" fillId="0" borderId="17" xfId="0" applyFont="1" applyBorder="1"/>
    <xf numFmtId="10" fontId="8" fillId="0" borderId="7" xfId="0" applyNumberFormat="1" applyFont="1" applyBorder="1"/>
    <xf numFmtId="0" fontId="8" fillId="0" borderId="58" xfId="0" applyFont="1" applyBorder="1"/>
    <xf numFmtId="0" fontId="8" fillId="0" borderId="59" xfId="0" applyFont="1" applyBorder="1"/>
    <xf numFmtId="166" fontId="8" fillId="0" borderId="59" xfId="0" applyNumberFormat="1" applyFont="1" applyBorder="1"/>
    <xf numFmtId="1" fontId="8" fillId="0" borderId="59" xfId="0" applyNumberFormat="1" applyFont="1" applyBorder="1"/>
    <xf numFmtId="166" fontId="8" fillId="0" borderId="58" xfId="0" applyNumberFormat="1" applyFont="1" applyBorder="1"/>
    <xf numFmtId="0" fontId="8" fillId="0" borderId="60" xfId="0" applyFont="1" applyBorder="1"/>
    <xf numFmtId="0" fontId="8" fillId="0" borderId="56" xfId="0" applyFont="1" applyBorder="1"/>
    <xf numFmtId="0" fontId="8" fillId="0" borderId="18" xfId="0" applyFont="1" applyBorder="1" applyAlignment="1">
      <alignment horizontal="right"/>
    </xf>
    <xf numFmtId="166" fontId="8" fillId="0" borderId="17" xfId="0" applyNumberFormat="1" applyFont="1" applyBorder="1"/>
    <xf numFmtId="166" fontId="8" fillId="0" borderId="61" xfId="0" applyNumberFormat="1" applyFont="1" applyBorder="1"/>
    <xf numFmtId="0" fontId="8" fillId="0" borderId="57" xfId="0" applyFont="1" applyBorder="1"/>
    <xf numFmtId="1" fontId="8" fillId="0" borderId="17" xfId="0" applyNumberFormat="1" applyFont="1" applyBorder="1"/>
    <xf numFmtId="1" fontId="8" fillId="0" borderId="61" xfId="0" applyNumberFormat="1" applyFont="1" applyBorder="1"/>
    <xf numFmtId="0" fontId="10" fillId="0" borderId="9" xfId="0" applyFont="1" applyBorder="1" applyAlignment="1">
      <alignment horizontal="center"/>
    </xf>
    <xf numFmtId="0" fontId="9" fillId="0" borderId="8" xfId="0" applyFont="1" applyBorder="1"/>
    <xf numFmtId="0" fontId="9" fillId="0" borderId="1" xfId="0" applyFont="1" applyBorder="1"/>
    <xf numFmtId="166" fontId="9" fillId="0" borderId="8" xfId="0" applyNumberFormat="1" applyFont="1" applyBorder="1"/>
    <xf numFmtId="166" fontId="8" fillId="0" borderId="52" xfId="0" applyNumberFormat="1" applyFont="1" applyBorder="1"/>
    <xf numFmtId="166" fontId="8" fillId="0" borderId="53" xfId="0" applyNumberFormat="1" applyFont="1" applyBorder="1"/>
    <xf numFmtId="0" fontId="8" fillId="0" borderId="35" xfId="0" applyFont="1" applyBorder="1"/>
    <xf numFmtId="166" fontId="8" fillId="0" borderId="42" xfId="0" applyNumberFormat="1" applyFont="1" applyBorder="1"/>
    <xf numFmtId="0" fontId="8" fillId="0" borderId="53" xfId="0" applyFont="1" applyBorder="1"/>
    <xf numFmtId="166" fontId="9" fillId="0" borderId="1" xfId="0" applyNumberFormat="1" applyFont="1" applyBorder="1"/>
    <xf numFmtId="0" fontId="8" fillId="0" borderId="30" xfId="0" applyFont="1" applyBorder="1"/>
    <xf numFmtId="167" fontId="8" fillId="0" borderId="42" xfId="0" applyNumberFormat="1" applyFont="1" applyBorder="1"/>
    <xf numFmtId="167" fontId="8" fillId="0" borderId="8" xfId="0" applyNumberFormat="1" applyFont="1" applyBorder="1"/>
    <xf numFmtId="167" fontId="8" fillId="0" borderId="30" xfId="0" applyNumberFormat="1" applyFont="1" applyBorder="1"/>
    <xf numFmtId="0" fontId="8" fillId="0" borderId="46" xfId="0" applyFont="1" applyBorder="1"/>
    <xf numFmtId="0" fontId="8" fillId="0" borderId="28" xfId="0" applyFont="1" applyBorder="1"/>
    <xf numFmtId="1" fontId="8" fillId="0" borderId="47" xfId="0" applyNumberFormat="1" applyFont="1" applyBorder="1"/>
    <xf numFmtId="1" fontId="8" fillId="0" borderId="7" xfId="0" applyNumberFormat="1" applyFont="1" applyBorder="1"/>
    <xf numFmtId="1" fontId="9" fillId="0" borderId="7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" fontId="8" fillId="0" borderId="48" xfId="0" applyNumberFormat="1" applyFont="1" applyBorder="1"/>
    <xf numFmtId="1" fontId="8" fillId="0" borderId="29" xfId="0" applyNumberFormat="1" applyFont="1" applyBorder="1"/>
    <xf numFmtId="0" fontId="24" fillId="0" borderId="7" xfId="0" applyFont="1" applyBorder="1"/>
    <xf numFmtId="170" fontId="3" fillId="0" borderId="7" xfId="0" applyNumberFormat="1" applyFont="1" applyBorder="1"/>
    <xf numFmtId="1" fontId="17" fillId="0" borderId="7" xfId="8" applyNumberFormat="1" applyFont="1" applyBorder="1" applyAlignment="1">
      <alignment horizontal="center"/>
    </xf>
    <xf numFmtId="170" fontId="3" fillId="0" borderId="0" xfId="0" applyNumberFormat="1" applyFont="1"/>
    <xf numFmtId="49" fontId="16" fillId="0" borderId="0" xfId="0" applyNumberFormat="1" applyFont="1" applyAlignment="1">
      <alignment horizontal="center"/>
    </xf>
    <xf numFmtId="165" fontId="17" fillId="0" borderId="0" xfId="0" applyNumberFormat="1" applyFont="1"/>
    <xf numFmtId="164" fontId="5" fillId="0" borderId="7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7" xfId="0" applyNumberFormat="1" applyFont="1" applyBorder="1" applyAlignment="1">
      <alignment horizontal="right" wrapText="1"/>
    </xf>
    <xf numFmtId="10" fontId="27" fillId="0" borderId="0" xfId="0" applyNumberFormat="1" applyFont="1" applyAlignment="1">
      <alignment horizontal="center"/>
    </xf>
    <xf numFmtId="1" fontId="24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10" fillId="0" borderId="38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 wrapText="1"/>
    </xf>
    <xf numFmtId="164" fontId="3" fillId="0" borderId="35" xfId="0" applyNumberFormat="1" applyFont="1" applyBorder="1" applyAlignment="1">
      <alignment horizontal="center" wrapText="1"/>
    </xf>
    <xf numFmtId="0" fontId="28" fillId="0" borderId="49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169" fontId="6" fillId="0" borderId="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left" vertical="center"/>
    </xf>
    <xf numFmtId="0" fontId="3" fillId="0" borderId="15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5" fillId="0" borderId="15" xfId="0" applyNumberFormat="1" applyFont="1" applyBorder="1" applyAlignment="1">
      <alignment horizontal="center" wrapText="1"/>
    </xf>
    <xf numFmtId="164" fontId="5" fillId="0" borderId="35" xfId="0" applyNumberFormat="1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 wrapText="1"/>
    </xf>
  </cellXfs>
  <cellStyles count="20">
    <cellStyle name="Currency 2" xfId="15" xr:uid="{449B6BCF-1EE6-4A91-B8B0-8C607EF14A10}"/>
    <cellStyle name="Excel Built-in Normal" xfId="1" xr:uid="{AD8D790D-FF51-4836-9445-429FD8D538B9}"/>
    <cellStyle name="Excel Built-in Normal 1" xfId="2" xr:uid="{9D2F0A5E-43D3-4605-B413-904947B46F69}"/>
    <cellStyle name="Heading" xfId="3" xr:uid="{2339A2E8-455E-4F6B-ABF8-C6ACE95A6F8D}"/>
    <cellStyle name="Heading1" xfId="4" xr:uid="{AAF9FE1E-BD5F-467A-AF9B-C333E668AE52}"/>
    <cellStyle name="Monedă 2" xfId="5" xr:uid="{BD57ACAC-0B3E-4050-BE35-D57B5AD8198D}"/>
    <cellStyle name="Normal" xfId="0" builtinId="0"/>
    <cellStyle name="Normal 2" xfId="6" xr:uid="{01C302DE-9048-49C9-BC7C-48B0DBA377DE}"/>
    <cellStyle name="Normal 2 2" xfId="7" xr:uid="{D7C54E03-185A-4A93-9E3B-A7EB798B5BF4}"/>
    <cellStyle name="Normal 2 3" xfId="8" xr:uid="{8FBBAB1D-A718-4A82-B2DF-81A5254028F3}"/>
    <cellStyle name="Normal 2 4" xfId="9" xr:uid="{CEBE0B9A-A023-483F-91C2-A2E53F3FE262}"/>
    <cellStyle name="Normal 2 5" xfId="10" xr:uid="{9DDBAC4E-5857-49BF-9F29-B2DE91E75CFF}"/>
    <cellStyle name="Normal 2 6" xfId="16" xr:uid="{2AACE951-5080-4A3C-81E3-0D918E297087}"/>
    <cellStyle name="Normal 3" xfId="11" xr:uid="{A392BC8E-7EF4-4E6B-91F1-918E896CB12B}"/>
    <cellStyle name="Normal 3 2" xfId="18" xr:uid="{BC327188-C258-4552-9BED-AD1986F443F5}"/>
    <cellStyle name="Normal 3 3" xfId="19" xr:uid="{94C53298-7FEF-4710-A824-F6817B2A39F7}"/>
    <cellStyle name="Normal 3 4" xfId="17" xr:uid="{773CF118-54E7-4658-9C59-3936453DE3EE}"/>
    <cellStyle name="Result" xfId="12" xr:uid="{D0B1E469-C7E0-441F-B448-46C77DA719B1}"/>
    <cellStyle name="Result2" xfId="13" xr:uid="{6AF0A1EB-9EE6-4AA2-92C2-6B45DC0D63B2}"/>
    <cellStyle name="TableStyleLight1" xfId="14" xr:uid="{70C39BF5-241E-41A6-BCB0-1CD8D9C8FDB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23FF2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D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DEB3D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00"/>
      <color rgb="FFE7591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opLeftCell="A20" zoomScaleNormal="100" zoomScalePageLayoutView="60" workbookViewId="0">
      <selection activeCell="R62" sqref="R62"/>
    </sheetView>
  </sheetViews>
  <sheetFormatPr defaultColWidth="10.109375" defaultRowHeight="14.4"/>
  <cols>
    <col min="1" max="1" width="9.33203125" style="1" bestFit="1" customWidth="1"/>
    <col min="2" max="2" width="14.21875" style="89" customWidth="1"/>
    <col min="3" max="3" width="13.88671875" style="1" customWidth="1"/>
    <col min="4" max="4" width="9.6640625" style="1" customWidth="1"/>
    <col min="5" max="5" width="11.33203125" style="1" customWidth="1"/>
    <col min="6" max="6" width="11.109375" style="1" customWidth="1"/>
    <col min="7" max="7" width="12.88671875" style="1" customWidth="1"/>
    <col min="8" max="8" width="11.33203125" style="1" customWidth="1"/>
    <col min="9" max="9" width="11" style="85" customWidth="1"/>
    <col min="10" max="10" width="10.5546875" style="85" customWidth="1"/>
    <col min="11" max="11" width="11.109375" style="1" customWidth="1"/>
    <col min="12" max="12" width="11.88671875" style="1" customWidth="1"/>
    <col min="13" max="13" width="10.21875" style="1" customWidth="1"/>
    <col min="14" max="14" width="7.88671875" style="1" customWidth="1"/>
    <col min="15" max="15" width="6.5546875" style="1" customWidth="1"/>
    <col min="16" max="16" width="6.44140625" style="1" customWidth="1"/>
    <col min="17" max="16384" width="10.109375" style="1"/>
  </cols>
  <sheetData>
    <row r="1" spans="1:15">
      <c r="A1" s="63"/>
      <c r="B1" s="63"/>
      <c r="C1" s="63"/>
      <c r="D1" s="63"/>
      <c r="E1" s="63"/>
      <c r="F1" s="15"/>
      <c r="G1" s="64"/>
      <c r="H1" s="65"/>
      <c r="I1" s="64"/>
      <c r="J1" s="64"/>
      <c r="K1" s="15"/>
      <c r="L1" s="15"/>
    </row>
    <row r="2" spans="1:15" ht="15" thickBot="1">
      <c r="A2" s="63"/>
      <c r="B2" s="63"/>
      <c r="C2" s="63"/>
      <c r="D2" s="63"/>
      <c r="E2" s="63"/>
      <c r="F2" s="15"/>
      <c r="G2" s="64"/>
      <c r="H2" s="65"/>
      <c r="I2" s="64"/>
      <c r="J2" s="64"/>
      <c r="K2" s="15"/>
      <c r="L2" s="15"/>
    </row>
    <row r="3" spans="1:15" ht="15" thickBot="1">
      <c r="A3" s="233" t="s">
        <v>145</v>
      </c>
      <c r="B3" s="234"/>
      <c r="C3" s="234"/>
      <c r="D3" s="234"/>
      <c r="E3" s="235"/>
      <c r="F3" s="15"/>
      <c r="G3" s="167" t="s">
        <v>0</v>
      </c>
      <c r="H3" s="169" t="s">
        <v>123</v>
      </c>
      <c r="I3" s="64" t="s">
        <v>124</v>
      </c>
      <c r="J3" s="219"/>
      <c r="K3" s="15"/>
      <c r="L3" s="15"/>
    </row>
    <row r="4" spans="1:15">
      <c r="A4" s="5"/>
      <c r="B4" s="5" t="s">
        <v>1</v>
      </c>
      <c r="C4" s="5" t="s">
        <v>2</v>
      </c>
      <c r="D4" s="5" t="s">
        <v>107</v>
      </c>
      <c r="E4" s="5" t="s">
        <v>3</v>
      </c>
      <c r="F4" s="5" t="s">
        <v>108</v>
      </c>
      <c r="G4" s="41" t="s">
        <v>4</v>
      </c>
      <c r="H4" s="41" t="s">
        <v>5</v>
      </c>
      <c r="I4" s="5" t="s">
        <v>6</v>
      </c>
      <c r="J4" s="5" t="s">
        <v>7</v>
      </c>
      <c r="K4" s="5" t="s">
        <v>8</v>
      </c>
      <c r="L4" s="168" t="s">
        <v>104</v>
      </c>
      <c r="M4" s="166"/>
    </row>
    <row r="5" spans="1:15" ht="28.8">
      <c r="A5" s="5"/>
      <c r="B5" s="90">
        <v>8.0000000000000004E-4</v>
      </c>
      <c r="C5" s="90">
        <v>2.5000000000000001E-3</v>
      </c>
      <c r="D5" s="90">
        <v>2.9000000000000001E-2</v>
      </c>
      <c r="E5" s="90">
        <v>3.2000000000000001E-2</v>
      </c>
      <c r="F5" s="90" t="s">
        <v>109</v>
      </c>
      <c r="G5" s="90">
        <v>1.2E-4</v>
      </c>
      <c r="H5" s="90">
        <v>4.3999999999999997E-2</v>
      </c>
      <c r="I5" s="90">
        <v>4.8000000000000001E-2</v>
      </c>
      <c r="J5" s="90">
        <v>1.9E-2</v>
      </c>
      <c r="K5" s="90">
        <v>2.3E-2</v>
      </c>
      <c r="L5" s="165">
        <v>1.4999999999999999E-2</v>
      </c>
      <c r="M5" s="165">
        <v>1.7999999999999999E-2</v>
      </c>
    </row>
    <row r="6" spans="1:15">
      <c r="A6" s="5" t="s">
        <v>119</v>
      </c>
      <c r="B6" s="231">
        <v>1.1999999999999999E-3</v>
      </c>
      <c r="C6" s="232"/>
      <c r="D6" s="231">
        <v>3.1E-2</v>
      </c>
      <c r="E6" s="232"/>
      <c r="F6" s="90"/>
      <c r="G6" s="90"/>
      <c r="H6" s="231">
        <v>4.4999999999999998E-2</v>
      </c>
      <c r="I6" s="232"/>
      <c r="J6" s="231">
        <v>2.1000000000000001E-2</v>
      </c>
      <c r="K6" s="232"/>
      <c r="L6" s="231">
        <v>1.6E-2</v>
      </c>
      <c r="M6" s="232"/>
    </row>
    <row r="7" spans="1:15">
      <c r="A7" s="8" t="s">
        <v>116</v>
      </c>
      <c r="B7" s="90"/>
      <c r="C7" s="215">
        <v>9.7999999999999997E-4</v>
      </c>
      <c r="D7" s="230">
        <v>3.1E-2</v>
      </c>
      <c r="E7" s="230"/>
      <c r="F7" s="7"/>
      <c r="G7" s="7"/>
      <c r="H7" s="215" t="s">
        <v>14</v>
      </c>
      <c r="I7" s="215">
        <v>4.9500000000000002E-2</v>
      </c>
      <c r="J7" s="215" t="s">
        <v>13</v>
      </c>
      <c r="K7" s="215">
        <v>2.1499999999999998E-2</v>
      </c>
      <c r="L7" s="215" t="s">
        <v>104</v>
      </c>
      <c r="M7" s="215">
        <v>1.7000000000000001E-2</v>
      </c>
    </row>
    <row r="8" spans="1:15">
      <c r="A8" s="67"/>
      <c r="B8" s="37"/>
      <c r="C8" s="39"/>
      <c r="D8" s="37"/>
      <c r="E8" s="39"/>
      <c r="F8" s="68"/>
      <c r="G8" s="68"/>
      <c r="H8" s="68"/>
      <c r="I8" s="37"/>
      <c r="J8" s="39"/>
      <c r="K8" s="37"/>
      <c r="L8" s="39"/>
    </row>
    <row r="9" spans="1:15">
      <c r="A9" s="67"/>
      <c r="B9" s="69" t="s">
        <v>9</v>
      </c>
      <c r="C9" s="70"/>
      <c r="D9" s="5" t="s">
        <v>10</v>
      </c>
      <c r="E9" s="5" t="s">
        <v>11</v>
      </c>
      <c r="F9" s="5" t="s">
        <v>12</v>
      </c>
      <c r="G9" s="5" t="s">
        <v>104</v>
      </c>
      <c r="H9" s="71" t="s">
        <v>13</v>
      </c>
      <c r="I9" s="71" t="s">
        <v>14</v>
      </c>
      <c r="J9" s="6" t="s">
        <v>99</v>
      </c>
    </row>
    <row r="10" spans="1:15">
      <c r="A10" s="67"/>
      <c r="B10" s="67"/>
      <c r="C10" s="67"/>
      <c r="D10" s="67"/>
      <c r="E10" s="67"/>
      <c r="F10" s="67"/>
      <c r="G10" s="67"/>
      <c r="H10" s="67"/>
      <c r="I10" s="67"/>
      <c r="J10" s="67" t="s">
        <v>95</v>
      </c>
      <c r="K10" s="67"/>
    </row>
    <row r="11" spans="1:15" ht="15.6">
      <c r="A11" s="72" t="s">
        <v>16</v>
      </c>
      <c r="B11" s="164" t="s">
        <v>125</v>
      </c>
      <c r="C11" s="209" t="s">
        <v>17</v>
      </c>
      <c r="D11" s="154">
        <v>2.9999999999999997E-4</v>
      </c>
      <c r="E11" s="154">
        <v>1.2999999999999999E-4</v>
      </c>
      <c r="F11" s="74"/>
      <c r="G11" s="74"/>
      <c r="H11" s="75"/>
      <c r="I11" s="75"/>
      <c r="J11" s="22">
        <v>4173</v>
      </c>
      <c r="K11" s="1" t="s">
        <v>98</v>
      </c>
    </row>
    <row r="12" spans="1:15">
      <c r="A12" s="67">
        <v>1</v>
      </c>
      <c r="B12" s="80"/>
      <c r="C12" s="77" t="s">
        <v>19</v>
      </c>
      <c r="D12" s="78"/>
      <c r="E12" s="78"/>
      <c r="F12" s="78"/>
      <c r="G12" s="78"/>
      <c r="H12" s="78"/>
      <c r="I12" s="78"/>
      <c r="J12" s="79">
        <v>4173</v>
      </c>
      <c r="K12" s="1" t="s">
        <v>20</v>
      </c>
      <c r="L12" s="10"/>
    </row>
    <row r="13" spans="1:15">
      <c r="A13" s="67"/>
      <c r="B13" s="80"/>
      <c r="C13" s="73" t="s">
        <v>22</v>
      </c>
      <c r="D13" s="154">
        <f>IF(D12&gt;0,(D11+D12)/2,D11)</f>
        <v>2.9999999999999997E-4</v>
      </c>
      <c r="E13" s="154">
        <f>IF(E12&gt;0,(E11+E12)/2,E11)</f>
        <v>1.2999999999999999E-4</v>
      </c>
      <c r="F13" s="74"/>
      <c r="G13" s="74"/>
      <c r="H13" s="74"/>
      <c r="I13" s="74"/>
      <c r="J13" s="22"/>
    </row>
    <row r="14" spans="1:15">
      <c r="A14" s="67"/>
      <c r="B14" s="81"/>
      <c r="D14" s="82"/>
      <c r="E14" s="82"/>
      <c r="F14" s="82"/>
      <c r="G14" s="82"/>
      <c r="H14" s="82"/>
      <c r="I14" s="82"/>
      <c r="J14" s="10"/>
      <c r="L14" s="10"/>
    </row>
    <row r="15" spans="1:15">
      <c r="A15" s="72" t="s">
        <v>16</v>
      </c>
      <c r="B15" s="163" t="s">
        <v>126</v>
      </c>
      <c r="C15" s="154" t="s">
        <v>17</v>
      </c>
      <c r="D15" s="154">
        <v>2.7999999999999998E-4</v>
      </c>
      <c r="E15" s="154">
        <v>4.0000000000000003E-5</v>
      </c>
      <c r="F15" s="74"/>
      <c r="G15" s="74"/>
      <c r="H15" s="75"/>
      <c r="I15" s="75"/>
      <c r="J15" s="22">
        <v>8000</v>
      </c>
      <c r="K15" s="1" t="s">
        <v>98</v>
      </c>
      <c r="L15" s="31"/>
      <c r="M15" s="30"/>
      <c r="N15" s="30"/>
      <c r="O15" s="31"/>
    </row>
    <row r="16" spans="1:15">
      <c r="A16" s="67">
        <v>2</v>
      </c>
      <c r="B16" s="76"/>
      <c r="C16" s="73" t="s">
        <v>19</v>
      </c>
      <c r="D16" s="74"/>
      <c r="E16" s="74"/>
      <c r="F16" s="74"/>
      <c r="G16" s="74"/>
      <c r="H16" s="75"/>
      <c r="I16" s="75"/>
      <c r="J16" s="22">
        <v>8000</v>
      </c>
      <c r="K16" s="1" t="s">
        <v>20</v>
      </c>
    </row>
    <row r="17" spans="1:14">
      <c r="A17" s="67"/>
      <c r="B17" s="83"/>
      <c r="C17" s="73" t="s">
        <v>22</v>
      </c>
      <c r="D17" s="154">
        <f t="shared" ref="D17:E17" si="0">IF(D16&gt;0,(D15+D16)/2,D15)</f>
        <v>2.7999999999999998E-4</v>
      </c>
      <c r="E17" s="154">
        <f t="shared" si="0"/>
        <v>4.0000000000000003E-5</v>
      </c>
      <c r="F17" s="74"/>
      <c r="G17" s="74"/>
      <c r="H17" s="74"/>
      <c r="I17" s="74"/>
      <c r="J17" s="22"/>
    </row>
    <row r="18" spans="1:14">
      <c r="A18" s="67"/>
      <c r="B18" s="84"/>
      <c r="D18" s="82"/>
      <c r="E18" s="82"/>
      <c r="F18" s="82"/>
      <c r="G18" s="82"/>
      <c r="H18" s="85"/>
      <c r="J18" s="10"/>
    </row>
    <row r="19" spans="1:14">
      <c r="A19" s="72" t="s">
        <v>16</v>
      </c>
      <c r="B19" s="163" t="s">
        <v>127</v>
      </c>
      <c r="C19" s="154" t="s">
        <v>17</v>
      </c>
      <c r="D19" s="154">
        <v>2.2000000000000001E-4</v>
      </c>
      <c r="E19" s="154">
        <v>1.7000000000000001E-4</v>
      </c>
      <c r="F19" s="74"/>
      <c r="G19" s="74"/>
      <c r="H19" s="75"/>
      <c r="I19" s="75"/>
      <c r="J19" s="22">
        <v>7750</v>
      </c>
      <c r="K19" s="1" t="s">
        <v>98</v>
      </c>
    </row>
    <row r="20" spans="1:14">
      <c r="A20" s="67">
        <v>3</v>
      </c>
      <c r="B20" s="80"/>
      <c r="C20" s="73" t="s">
        <v>19</v>
      </c>
      <c r="D20" s="74"/>
      <c r="E20" s="74"/>
      <c r="F20" s="74"/>
      <c r="G20" s="74"/>
      <c r="H20" s="75"/>
      <c r="I20" s="75"/>
      <c r="J20" s="129">
        <f>J19-J21</f>
        <v>904.37185664447679</v>
      </c>
      <c r="K20" s="1" t="s">
        <v>20</v>
      </c>
      <c r="L20" s="10"/>
    </row>
    <row r="21" spans="1:14">
      <c r="A21" s="67"/>
      <c r="B21" s="80"/>
      <c r="C21" s="73" t="s">
        <v>22</v>
      </c>
      <c r="D21" s="154">
        <f t="shared" ref="D21:E21" si="1">IF(D20&gt;0,(D19+D20)/2,D19)</f>
        <v>2.2000000000000001E-4</v>
      </c>
      <c r="E21" s="154">
        <f t="shared" si="1"/>
        <v>1.7000000000000001E-4</v>
      </c>
      <c r="F21" s="74"/>
      <c r="G21" s="74"/>
      <c r="H21" s="74"/>
      <c r="I21" s="74"/>
      <c r="J21" s="22">
        <f>RetDozare!I163</f>
        <v>6845.6281433555232</v>
      </c>
    </row>
    <row r="22" spans="1:14">
      <c r="A22" s="67"/>
      <c r="B22" s="81"/>
      <c r="D22" s="82"/>
      <c r="E22" s="82"/>
      <c r="F22" s="82"/>
      <c r="G22" s="82"/>
      <c r="H22" s="85"/>
      <c r="J22" s="10"/>
      <c r="N22" s="81"/>
    </row>
    <row r="23" spans="1:14" hidden="1">
      <c r="A23" s="72" t="s">
        <v>16</v>
      </c>
      <c r="B23" s="69"/>
      <c r="C23" s="73" t="s">
        <v>17</v>
      </c>
      <c r="D23" s="74"/>
      <c r="E23" s="74"/>
      <c r="F23" s="74"/>
      <c r="G23" s="74"/>
      <c r="H23" s="75"/>
      <c r="I23" s="75"/>
      <c r="J23" s="22"/>
      <c r="K23" s="1" t="s">
        <v>98</v>
      </c>
      <c r="N23" s="67"/>
    </row>
    <row r="24" spans="1:14" hidden="1">
      <c r="A24" s="67">
        <v>4</v>
      </c>
      <c r="B24" s="80"/>
      <c r="C24" s="73" t="s">
        <v>19</v>
      </c>
      <c r="D24" s="74"/>
      <c r="E24" s="74"/>
      <c r="F24" s="74"/>
      <c r="G24" s="74"/>
      <c r="H24" s="75"/>
      <c r="I24" s="75"/>
      <c r="J24" s="22"/>
      <c r="K24" s="1" t="s">
        <v>20</v>
      </c>
      <c r="L24" s="10"/>
      <c r="N24" s="67"/>
    </row>
    <row r="25" spans="1:14" hidden="1">
      <c r="A25" s="67"/>
      <c r="B25" s="80"/>
      <c r="C25" s="73" t="s">
        <v>22</v>
      </c>
      <c r="D25" s="74"/>
      <c r="E25" s="74"/>
      <c r="F25" s="74"/>
      <c r="G25" s="74"/>
      <c r="H25" s="74"/>
      <c r="I25" s="74"/>
      <c r="J25" s="22"/>
      <c r="K25" s="1" t="s">
        <v>23</v>
      </c>
    </row>
    <row r="26" spans="1:14" hidden="1">
      <c r="A26" s="67"/>
      <c r="B26" s="81"/>
      <c r="D26" s="82"/>
      <c r="E26" s="82"/>
      <c r="F26" s="82"/>
      <c r="G26" s="82"/>
      <c r="H26" s="85"/>
      <c r="J26" s="10"/>
    </row>
    <row r="27" spans="1:14" hidden="1">
      <c r="A27" s="72" t="s">
        <v>16</v>
      </c>
      <c r="B27" s="80"/>
      <c r="C27" s="73" t="s">
        <v>17</v>
      </c>
      <c r="D27" s="74"/>
      <c r="E27" s="74"/>
      <c r="F27" s="74"/>
      <c r="G27" s="74"/>
      <c r="H27" s="75"/>
      <c r="I27" s="75"/>
      <c r="J27" s="22"/>
      <c r="K27" s="1" t="s">
        <v>98</v>
      </c>
    </row>
    <row r="28" spans="1:14" hidden="1">
      <c r="A28" s="67">
        <v>5</v>
      </c>
      <c r="B28" s="80"/>
      <c r="C28" s="73" t="s">
        <v>19</v>
      </c>
      <c r="D28" s="74"/>
      <c r="E28" s="74"/>
      <c r="F28" s="74"/>
      <c r="G28" s="74"/>
      <c r="H28" s="75"/>
      <c r="I28" s="75"/>
      <c r="J28" s="22"/>
      <c r="K28" s="1" t="s">
        <v>20</v>
      </c>
    </row>
    <row r="29" spans="1:14" hidden="1">
      <c r="A29" s="67"/>
      <c r="B29" s="80"/>
      <c r="C29" s="73" t="s">
        <v>22</v>
      </c>
      <c r="D29" s="74"/>
      <c r="E29" s="74"/>
      <c r="F29" s="74"/>
      <c r="G29" s="74"/>
      <c r="H29" s="74"/>
      <c r="I29" s="74"/>
      <c r="J29" s="22"/>
      <c r="K29" s="1" t="s">
        <v>98</v>
      </c>
    </row>
    <row r="30" spans="1:14" ht="15.75" hidden="1" customHeight="1">
      <c r="A30" s="67"/>
      <c r="B30" s="81"/>
      <c r="D30" s="82"/>
      <c r="E30" s="82"/>
      <c r="F30" s="82"/>
      <c r="G30" s="82"/>
      <c r="H30" s="82"/>
      <c r="I30" s="82"/>
      <c r="J30" s="10"/>
    </row>
    <row r="31" spans="1:14" hidden="1">
      <c r="A31" s="72" t="s">
        <v>16</v>
      </c>
      <c r="B31" s="80"/>
      <c r="C31" s="73" t="s">
        <v>17</v>
      </c>
      <c r="D31" s="74"/>
      <c r="E31" s="74"/>
      <c r="F31" s="74"/>
      <c r="G31" s="74"/>
      <c r="H31" s="75"/>
      <c r="I31" s="75"/>
      <c r="J31" s="22">
        <v>2000</v>
      </c>
      <c r="K31" s="1" t="s">
        <v>98</v>
      </c>
    </row>
    <row r="32" spans="1:14" hidden="1">
      <c r="A32" s="67">
        <v>6</v>
      </c>
      <c r="B32" s="80" t="s">
        <v>97</v>
      </c>
      <c r="C32" s="73" t="s">
        <v>19</v>
      </c>
      <c r="D32" s="74"/>
      <c r="E32" s="74"/>
      <c r="F32" s="74"/>
      <c r="G32" s="74"/>
      <c r="H32" s="75"/>
      <c r="I32" s="75"/>
      <c r="J32" s="22"/>
      <c r="K32" s="1" t="s">
        <v>20</v>
      </c>
    </row>
    <row r="33" spans="1:15" hidden="1">
      <c r="A33" s="67"/>
      <c r="B33" s="80" t="s">
        <v>21</v>
      </c>
      <c r="C33" s="73" t="s">
        <v>22</v>
      </c>
      <c r="D33" s="74">
        <f>IF(D32&gt;0,(D31+D32)/2,D31)</f>
        <v>0</v>
      </c>
      <c r="E33" s="74">
        <f>IF(E32&gt;0,(E31+E32)/2,E31)</f>
        <v>0</v>
      </c>
      <c r="F33" s="74"/>
      <c r="G33" s="74"/>
      <c r="H33" s="74"/>
      <c r="I33" s="74"/>
      <c r="J33" s="22"/>
      <c r="K33" s="1" t="s">
        <v>23</v>
      </c>
    </row>
    <row r="34" spans="1:15" hidden="1">
      <c r="A34" s="67"/>
      <c r="B34" s="81"/>
      <c r="D34" s="82"/>
      <c r="E34" s="82"/>
      <c r="F34" s="82"/>
      <c r="G34" s="82"/>
      <c r="H34" s="82"/>
      <c r="I34" s="82"/>
      <c r="J34" s="10"/>
    </row>
    <row r="35" spans="1:15" hidden="1">
      <c r="A35" s="72" t="s">
        <v>16</v>
      </c>
      <c r="B35" s="80"/>
      <c r="C35" s="73" t="s">
        <v>17</v>
      </c>
      <c r="D35" s="74"/>
      <c r="E35" s="74"/>
      <c r="F35" s="74"/>
      <c r="G35" s="74"/>
      <c r="H35" s="75"/>
      <c r="I35" s="75"/>
      <c r="J35" s="22"/>
      <c r="K35" s="1" t="s">
        <v>98</v>
      </c>
      <c r="O35" s="10"/>
    </row>
    <row r="36" spans="1:15" hidden="1">
      <c r="A36" s="67">
        <v>7</v>
      </c>
      <c r="B36" s="80" t="s">
        <v>18</v>
      </c>
      <c r="C36" s="73" t="s">
        <v>19</v>
      </c>
      <c r="D36" s="74"/>
      <c r="E36" s="74"/>
      <c r="F36" s="74"/>
      <c r="G36" s="74"/>
      <c r="H36" s="75"/>
      <c r="I36" s="75"/>
      <c r="J36" s="22"/>
      <c r="K36" s="1" t="s">
        <v>20</v>
      </c>
    </row>
    <row r="37" spans="1:15" hidden="1">
      <c r="A37" s="67"/>
      <c r="B37" s="80" t="s">
        <v>21</v>
      </c>
      <c r="C37" s="73" t="s">
        <v>22</v>
      </c>
      <c r="D37" s="74">
        <f>IF(D36&gt;0,(D35+D36)/2,D35)</f>
        <v>0</v>
      </c>
      <c r="E37" s="74">
        <f>IF(E36&gt;0,(E35+E36)/2,E35)</f>
        <v>0</v>
      </c>
      <c r="F37" s="74">
        <f>IF(F36&gt;0,(F35+F36)/2,F35)</f>
        <v>0</v>
      </c>
      <c r="G37" s="74">
        <f>IF(G36&gt;0,(G35+G36)/2,G35)</f>
        <v>0</v>
      </c>
      <c r="H37" s="74"/>
      <c r="I37" s="74"/>
      <c r="J37" s="22">
        <v>0</v>
      </c>
      <c r="K37" s="1" t="s">
        <v>23</v>
      </c>
    </row>
    <row r="38" spans="1:15" hidden="1">
      <c r="A38" s="67"/>
      <c r="B38" s="81"/>
      <c r="D38" s="82"/>
      <c r="E38" s="82"/>
      <c r="F38" s="82"/>
      <c r="G38" s="82"/>
      <c r="H38" s="85"/>
      <c r="J38" s="10"/>
    </row>
    <row r="39" spans="1:15" hidden="1">
      <c r="A39" s="72" t="s">
        <v>16</v>
      </c>
      <c r="B39" s="80"/>
      <c r="C39" s="73" t="s">
        <v>17</v>
      </c>
      <c r="D39" s="74"/>
      <c r="E39" s="74"/>
      <c r="F39" s="74"/>
      <c r="G39" s="74"/>
      <c r="H39" s="75"/>
      <c r="I39" s="75"/>
      <c r="J39" s="22">
        <v>1750</v>
      </c>
      <c r="K39" s="1" t="s">
        <v>98</v>
      </c>
    </row>
    <row r="40" spans="1:15" hidden="1">
      <c r="A40" s="67">
        <v>8</v>
      </c>
      <c r="B40" s="80" t="s">
        <v>18</v>
      </c>
      <c r="C40" s="73" t="s">
        <v>19</v>
      </c>
      <c r="D40" s="74"/>
      <c r="E40" s="74"/>
      <c r="F40" s="74"/>
      <c r="G40" s="74"/>
      <c r="H40" s="75"/>
      <c r="I40" s="75"/>
      <c r="J40" s="22">
        <v>1750</v>
      </c>
      <c r="K40" s="1" t="s">
        <v>20</v>
      </c>
    </row>
    <row r="41" spans="1:15" hidden="1">
      <c r="A41" s="67"/>
      <c r="B41" s="80" t="s">
        <v>21</v>
      </c>
      <c r="C41" s="73" t="s">
        <v>22</v>
      </c>
      <c r="D41" s="74">
        <f>IF(D40&gt;0,(D39+D40)/2,D39)</f>
        <v>0</v>
      </c>
      <c r="E41" s="74">
        <f>IF(E40&gt;0,(E39+E40)/2,E39)</f>
        <v>0</v>
      </c>
      <c r="F41" s="74">
        <f>IF(F40&gt;0,(F39+F40)/2,F39)</f>
        <v>0</v>
      </c>
      <c r="G41" s="74">
        <f>IF(G40&gt;0,(G39+G40)/2,G39)</f>
        <v>0</v>
      </c>
      <c r="H41" s="74"/>
      <c r="I41" s="74"/>
      <c r="J41" s="22"/>
      <c r="K41" s="1" t="s">
        <v>23</v>
      </c>
    </row>
    <row r="42" spans="1:15" hidden="1">
      <c r="A42" s="67"/>
      <c r="B42" s="81"/>
      <c r="D42" s="82"/>
      <c r="E42" s="82"/>
      <c r="F42" s="82"/>
      <c r="G42" s="82"/>
      <c r="H42" s="82"/>
      <c r="I42" s="82"/>
      <c r="J42" s="10"/>
    </row>
    <row r="43" spans="1:15" hidden="1">
      <c r="A43" s="67"/>
      <c r="B43" s="81"/>
      <c r="D43" s="82"/>
      <c r="E43" s="82"/>
      <c r="F43" s="82"/>
      <c r="G43" s="82"/>
      <c r="H43" s="85"/>
      <c r="J43" s="10"/>
    </row>
    <row r="44" spans="1:15">
      <c r="A44" s="72" t="s">
        <v>24</v>
      </c>
      <c r="B44" s="164">
        <v>355130</v>
      </c>
      <c r="C44" s="73" t="s">
        <v>17</v>
      </c>
      <c r="D44" s="154">
        <v>4.0000000000000002E-4</v>
      </c>
      <c r="E44" s="154">
        <v>2E-3</v>
      </c>
      <c r="F44" s="74"/>
      <c r="G44" s="74"/>
      <c r="H44" s="154">
        <v>0.65700000000000003</v>
      </c>
      <c r="I44" s="154">
        <v>0.33800000000000002</v>
      </c>
      <c r="J44" s="129">
        <v>350</v>
      </c>
      <c r="K44" s="1" t="s">
        <v>98</v>
      </c>
      <c r="L44" s="30"/>
    </row>
    <row r="45" spans="1:15">
      <c r="A45" s="67">
        <v>1</v>
      </c>
      <c r="B45" s="152" t="s">
        <v>102</v>
      </c>
      <c r="C45" s="124" t="s">
        <v>19</v>
      </c>
      <c r="D45" s="125"/>
      <c r="E45" s="126"/>
      <c r="F45" s="127"/>
      <c r="G45" s="126"/>
      <c r="H45" s="127"/>
      <c r="I45" s="126"/>
      <c r="J45" s="79">
        <v>350</v>
      </c>
      <c r="K45" s="1" t="s">
        <v>20</v>
      </c>
    </row>
    <row r="46" spans="1:15">
      <c r="A46" s="86"/>
      <c r="B46" s="128"/>
      <c r="C46" s="124" t="s">
        <v>22</v>
      </c>
      <c r="D46" s="154">
        <f t="shared" ref="D46" si="2">IF(D45&gt;0,(D44+D45)/2,D44)</f>
        <v>4.0000000000000002E-4</v>
      </c>
      <c r="E46" s="154">
        <f>IF(E45&gt;0,(E44+E45)/2,E44)</f>
        <v>2E-3</v>
      </c>
      <c r="F46" s="74"/>
      <c r="G46" s="74"/>
      <c r="H46" s="154">
        <f>IF(H45&gt;0,(H44+H45)/2,H44)</f>
        <v>0.65700000000000003</v>
      </c>
      <c r="I46" s="154">
        <f t="shared" ref="I46" si="3">IF(I45&gt;0,(I44+I45)/2,I44)</f>
        <v>0.33800000000000002</v>
      </c>
      <c r="J46" s="129"/>
      <c r="K46" s="1" t="s">
        <v>23</v>
      </c>
    </row>
    <row r="47" spans="1:15">
      <c r="A47" s="67"/>
      <c r="B47" s="81"/>
      <c r="D47" s="82"/>
      <c r="E47" s="82"/>
      <c r="F47" s="82"/>
      <c r="G47" s="82"/>
      <c r="H47" s="82"/>
      <c r="I47" s="82"/>
      <c r="J47" s="10"/>
    </row>
    <row r="48" spans="1:15" ht="15">
      <c r="A48" s="72" t="s">
        <v>24</v>
      </c>
      <c r="B48" s="220">
        <v>347445</v>
      </c>
      <c r="C48" s="73" t="s">
        <v>17</v>
      </c>
      <c r="D48" s="154">
        <v>5.0000000000000001E-4</v>
      </c>
      <c r="E48" s="154">
        <v>2E-3</v>
      </c>
      <c r="F48" s="74"/>
      <c r="G48" s="74"/>
      <c r="H48" s="154">
        <v>0.65500000000000003</v>
      </c>
      <c r="I48" s="154">
        <v>0.34100000000000003</v>
      </c>
      <c r="J48" s="210">
        <v>1360.8</v>
      </c>
      <c r="K48" s="1" t="s">
        <v>98</v>
      </c>
    </row>
    <row r="49" spans="1:11">
      <c r="A49" s="67">
        <v>2</v>
      </c>
      <c r="B49" s="152" t="s">
        <v>102</v>
      </c>
      <c r="C49" s="73" t="s">
        <v>19</v>
      </c>
      <c r="D49" s="154"/>
      <c r="E49" s="154"/>
      <c r="F49" s="74"/>
      <c r="G49" s="74"/>
      <c r="H49" s="154"/>
      <c r="I49" s="154"/>
      <c r="J49" s="22">
        <f>J48-J50</f>
        <v>111.11276098853227</v>
      </c>
      <c r="K49" s="1" t="s">
        <v>20</v>
      </c>
    </row>
    <row r="50" spans="1:11">
      <c r="A50" s="67"/>
      <c r="B50" s="128"/>
      <c r="C50" s="73" t="s">
        <v>22</v>
      </c>
      <c r="D50" s="154">
        <f>IF(D49&gt;0,(D48+D49)/2,D48)</f>
        <v>5.0000000000000001E-4</v>
      </c>
      <c r="E50" s="154">
        <f>IF(E49&gt;0,(E48+E49)/2,E48)</f>
        <v>2E-3</v>
      </c>
      <c r="F50" s="74"/>
      <c r="G50" s="74"/>
      <c r="H50" s="154">
        <f>IF(H49&gt;0,(H48+H49)/2,H48)</f>
        <v>0.65500000000000003</v>
      </c>
      <c r="I50" s="154">
        <f>IF(I49&gt;0,(I48+I49)/2,I48)</f>
        <v>0.34100000000000003</v>
      </c>
      <c r="J50" s="22">
        <f>RetDozare!J163</f>
        <v>1249.6872390114677</v>
      </c>
      <c r="K50" s="1" t="s">
        <v>23</v>
      </c>
    </row>
    <row r="51" spans="1:11" hidden="1">
      <c r="A51" s="67"/>
      <c r="B51" s="81"/>
      <c r="D51" s="154"/>
      <c r="E51" s="154"/>
      <c r="F51" s="82"/>
      <c r="G51" s="82"/>
      <c r="H51" s="82"/>
      <c r="I51" s="82"/>
      <c r="J51" s="10"/>
    </row>
    <row r="52" spans="1:11" hidden="1">
      <c r="A52" s="72" t="s">
        <v>24</v>
      </c>
      <c r="B52" s="87"/>
      <c r="C52" s="73" t="s">
        <v>17</v>
      </c>
      <c r="D52" s="154"/>
      <c r="E52" s="154"/>
      <c r="F52" s="74"/>
      <c r="G52" s="74"/>
      <c r="H52" s="74"/>
      <c r="I52" s="74"/>
      <c r="J52" s="22"/>
      <c r="K52" s="1" t="s">
        <v>98</v>
      </c>
    </row>
    <row r="53" spans="1:11" hidden="1">
      <c r="A53" s="15">
        <v>3</v>
      </c>
      <c r="B53" s="80"/>
      <c r="C53" s="73" t="s">
        <v>19</v>
      </c>
      <c r="D53" s="154"/>
      <c r="E53" s="154"/>
      <c r="F53" s="74"/>
      <c r="G53" s="74"/>
      <c r="H53" s="74"/>
      <c r="I53" s="74"/>
      <c r="J53" s="22"/>
      <c r="K53" s="1" t="s">
        <v>20</v>
      </c>
    </row>
    <row r="54" spans="1:11" hidden="1">
      <c r="A54" s="67"/>
      <c r="B54" s="80"/>
      <c r="C54" s="73" t="s">
        <v>22</v>
      </c>
      <c r="D54" s="154">
        <f>IF(D53&gt;0,(D52+D53)/2,D52)</f>
        <v>0</v>
      </c>
      <c r="E54" s="154">
        <f>IF(E53&gt;0,(E52+E53)/2,E52)</f>
        <v>0</v>
      </c>
      <c r="F54" s="74"/>
      <c r="G54" s="74"/>
      <c r="H54" s="74">
        <f>IF(H53&gt;0,(H52+H53)/2,H52)</f>
        <v>0</v>
      </c>
      <c r="I54" s="74">
        <f>IF(I53&gt;0,(I52+I53)/2,I52)</f>
        <v>0</v>
      </c>
      <c r="J54" s="22"/>
      <c r="K54" s="1" t="s">
        <v>23</v>
      </c>
    </row>
    <row r="55" spans="1:11">
      <c r="A55" s="67"/>
      <c r="B55" s="81"/>
      <c r="D55" s="154"/>
      <c r="E55" s="154"/>
      <c r="F55" s="82"/>
      <c r="G55" s="82"/>
      <c r="H55" s="82"/>
      <c r="I55" s="82"/>
      <c r="J55" s="10"/>
    </row>
    <row r="56" spans="1:11" ht="15.6">
      <c r="A56" s="72" t="s">
        <v>25</v>
      </c>
      <c r="B56" s="164" t="s">
        <v>128</v>
      </c>
      <c r="C56" s="209"/>
      <c r="D56" s="154"/>
      <c r="E56" s="154">
        <v>8.3000000000000001E-4</v>
      </c>
      <c r="F56" s="74"/>
      <c r="G56" s="74"/>
      <c r="H56" s="154"/>
      <c r="I56" s="154">
        <v>0.99860000000000004</v>
      </c>
      <c r="J56" s="88">
        <v>1730</v>
      </c>
      <c r="K56" s="1" t="s">
        <v>98</v>
      </c>
    </row>
    <row r="57" spans="1:11" ht="17.399999999999999">
      <c r="A57" s="67">
        <v>1</v>
      </c>
      <c r="B57" s="132"/>
      <c r="C57" s="131" t="s">
        <v>19</v>
      </c>
      <c r="D57" s="154"/>
      <c r="E57" s="154"/>
      <c r="F57" s="130"/>
      <c r="G57" s="130"/>
      <c r="H57" s="74"/>
      <c r="I57" s="130"/>
      <c r="J57" s="22">
        <f>J56-J58</f>
        <v>541.51538236699253</v>
      </c>
      <c r="K57" s="1" t="s">
        <v>20</v>
      </c>
    </row>
    <row r="58" spans="1:11">
      <c r="A58" s="67"/>
      <c r="B58" s="128"/>
      <c r="C58" s="131" t="s">
        <v>22</v>
      </c>
      <c r="D58" s="154"/>
      <c r="E58" s="154">
        <f t="shared" ref="E58:I58" si="4">IF(E57&gt;0,(E56+E57)/2,E56)</f>
        <v>8.3000000000000001E-4</v>
      </c>
      <c r="F58" s="74"/>
      <c r="G58" s="74"/>
      <c r="H58" s="74"/>
      <c r="I58" s="154">
        <f t="shared" si="4"/>
        <v>0.99860000000000004</v>
      </c>
      <c r="J58" s="22">
        <f>RetDozare!K163</f>
        <v>1188.4846176330075</v>
      </c>
      <c r="K58" s="1" t="s">
        <v>23</v>
      </c>
    </row>
    <row r="59" spans="1:11">
      <c r="A59" s="67"/>
      <c r="B59" s="81"/>
      <c r="D59" s="82"/>
      <c r="E59" s="82"/>
      <c r="F59" s="82"/>
      <c r="G59" s="82"/>
      <c r="H59" s="82"/>
      <c r="I59" s="82"/>
      <c r="J59" s="10"/>
    </row>
    <row r="60" spans="1:11">
      <c r="A60" s="72" t="s">
        <v>111</v>
      </c>
      <c r="B60" s="164" t="s">
        <v>129</v>
      </c>
      <c r="C60" s="73" t="s">
        <v>17</v>
      </c>
      <c r="D60" s="154"/>
      <c r="E60" s="154"/>
      <c r="F60" s="154"/>
      <c r="G60" s="154">
        <v>0.99</v>
      </c>
      <c r="H60" s="154"/>
      <c r="I60" s="154"/>
      <c r="J60" s="210">
        <v>50</v>
      </c>
      <c r="K60" s="1" t="s">
        <v>98</v>
      </c>
    </row>
    <row r="61" spans="1:11">
      <c r="A61" s="67">
        <v>1</v>
      </c>
      <c r="B61" s="132"/>
      <c r="C61" s="73" t="s">
        <v>19</v>
      </c>
      <c r="D61" s="154"/>
      <c r="E61" s="154"/>
      <c r="F61" s="154"/>
      <c r="G61" s="154"/>
      <c r="H61" s="154"/>
      <c r="I61" s="154"/>
      <c r="J61" s="22">
        <v>50</v>
      </c>
      <c r="K61" s="1" t="s">
        <v>20</v>
      </c>
    </row>
    <row r="62" spans="1:11">
      <c r="A62" s="67"/>
      <c r="B62" s="128"/>
      <c r="C62" s="73" t="s">
        <v>22</v>
      </c>
      <c r="D62" s="154"/>
      <c r="E62" s="154"/>
      <c r="F62" s="154"/>
      <c r="G62" s="154">
        <f t="shared" ref="G62" si="5">IF(G61&gt;0,(G60+G61)/2,G60)</f>
        <v>0.99</v>
      </c>
      <c r="H62" s="154"/>
      <c r="I62" s="154"/>
      <c r="J62" s="22"/>
    </row>
    <row r="63" spans="1:11">
      <c r="A63" s="67"/>
      <c r="B63" s="213"/>
      <c r="D63" s="214"/>
      <c r="E63" s="214"/>
      <c r="F63" s="214"/>
      <c r="G63" s="214"/>
      <c r="H63" s="214"/>
      <c r="I63" s="214"/>
      <c r="J63" s="10"/>
    </row>
    <row r="64" spans="1:11">
      <c r="A64" s="72" t="s">
        <v>111</v>
      </c>
      <c r="B64" s="155" t="s">
        <v>142</v>
      </c>
      <c r="C64" s="73" t="s">
        <v>17</v>
      </c>
      <c r="D64" s="154"/>
      <c r="E64" s="154"/>
      <c r="F64" s="154"/>
      <c r="G64" s="154">
        <v>0.99</v>
      </c>
      <c r="H64" s="154"/>
      <c r="I64" s="154"/>
      <c r="J64" s="210">
        <v>254</v>
      </c>
    </row>
    <row r="65" spans="1:11">
      <c r="A65" s="67">
        <v>2</v>
      </c>
      <c r="B65" s="132"/>
      <c r="C65" s="73" t="s">
        <v>19</v>
      </c>
      <c r="D65" s="154"/>
      <c r="E65" s="154"/>
      <c r="F65" s="154"/>
      <c r="G65" s="154"/>
      <c r="H65" s="154"/>
      <c r="I65" s="154"/>
      <c r="J65" s="22">
        <f>J64-J66</f>
        <v>191.7777777777778</v>
      </c>
    </row>
    <row r="66" spans="1:11">
      <c r="A66" s="67"/>
      <c r="B66" s="128"/>
      <c r="C66" s="73" t="s">
        <v>22</v>
      </c>
      <c r="D66" s="154"/>
      <c r="E66" s="154"/>
      <c r="F66" s="154"/>
      <c r="G66" s="154">
        <f t="shared" ref="G66" si="6">IF(G65&gt;0,(G64+G65)/2,G64)</f>
        <v>0.99</v>
      </c>
      <c r="H66" s="154"/>
      <c r="I66" s="154"/>
      <c r="J66" s="22">
        <f>RetDozare!M163</f>
        <v>62.2222222222222</v>
      </c>
    </row>
    <row r="67" spans="1:11">
      <c r="A67" s="67"/>
      <c r="B67" s="67"/>
      <c r="C67" s="67"/>
      <c r="D67" s="67"/>
      <c r="E67" s="67"/>
      <c r="F67" s="67"/>
      <c r="G67" s="67"/>
      <c r="H67" s="67"/>
      <c r="I67" s="67"/>
      <c r="J67" s="10"/>
    </row>
    <row r="68" spans="1:11">
      <c r="A68" s="72" t="s">
        <v>26</v>
      </c>
      <c r="B68" s="211">
        <v>4430521</v>
      </c>
      <c r="C68" s="73" t="s">
        <v>17</v>
      </c>
      <c r="D68" s="154"/>
      <c r="E68" s="154">
        <v>0.99</v>
      </c>
      <c r="F68" s="154"/>
      <c r="G68" s="154"/>
      <c r="H68" s="154"/>
      <c r="I68" s="154"/>
      <c r="J68" s="22">
        <v>866.95</v>
      </c>
      <c r="K68" s="1" t="s">
        <v>98</v>
      </c>
    </row>
    <row r="69" spans="1:11">
      <c r="A69" s="67">
        <v>1</v>
      </c>
      <c r="B69" s="132"/>
      <c r="C69" s="73"/>
      <c r="D69" s="154"/>
      <c r="E69" s="154"/>
      <c r="F69" s="154"/>
      <c r="G69" s="154"/>
      <c r="H69" s="154"/>
      <c r="I69" s="154"/>
      <c r="J69" s="22">
        <f>J68-J70</f>
        <v>438.84279683573436</v>
      </c>
      <c r="K69" s="1" t="s">
        <v>20</v>
      </c>
    </row>
    <row r="70" spans="1:11">
      <c r="A70" s="67"/>
      <c r="B70" s="128"/>
      <c r="C70" s="73" t="s">
        <v>22</v>
      </c>
      <c r="D70" s="154"/>
      <c r="E70" s="154">
        <f>IF(E69&gt;0,(E68+E69)/2,E68)</f>
        <v>0.99</v>
      </c>
      <c r="F70" s="154"/>
      <c r="G70" s="154"/>
      <c r="H70" s="154"/>
      <c r="I70" s="154"/>
      <c r="J70" s="22">
        <f>RetDozare!N163</f>
        <v>428.10720316426568</v>
      </c>
      <c r="K70" s="1" t="s">
        <v>23</v>
      </c>
    </row>
    <row r="71" spans="1:11">
      <c r="A71" s="67"/>
      <c r="B71" s="67"/>
      <c r="C71" s="67"/>
      <c r="D71" s="67"/>
      <c r="E71" s="67"/>
      <c r="F71" s="67"/>
      <c r="G71" s="67"/>
      <c r="H71" s="67"/>
      <c r="I71" s="67"/>
      <c r="J71" s="67"/>
    </row>
    <row r="72" spans="1:11">
      <c r="A72" s="67"/>
      <c r="B72" s="67"/>
      <c r="C72" s="67"/>
      <c r="D72" s="67"/>
      <c r="E72" s="67"/>
      <c r="F72" s="67"/>
      <c r="G72" s="67"/>
      <c r="H72" s="67"/>
      <c r="I72" s="67"/>
      <c r="J72" s="10"/>
    </row>
    <row r="73" spans="1:11">
      <c r="A73" s="67"/>
      <c r="B73" s="67"/>
      <c r="C73" s="67"/>
      <c r="D73" s="67"/>
      <c r="E73" s="67"/>
      <c r="F73" s="67"/>
      <c r="G73" s="67"/>
      <c r="H73" s="67"/>
      <c r="I73" s="67"/>
      <c r="J73" s="10"/>
    </row>
    <row r="74" spans="1:11">
      <c r="A74" s="67"/>
      <c r="B74" s="67"/>
      <c r="C74" s="67"/>
      <c r="D74" s="67"/>
      <c r="E74" s="67"/>
      <c r="F74" s="67"/>
      <c r="G74" s="67"/>
      <c r="H74" s="67"/>
      <c r="I74" s="67"/>
      <c r="J74" s="10"/>
    </row>
    <row r="75" spans="1:11">
      <c r="A75" s="72" t="s">
        <v>27</v>
      </c>
      <c r="B75" s="211" t="s">
        <v>143</v>
      </c>
      <c r="C75" s="73" t="s">
        <v>17</v>
      </c>
      <c r="D75" s="154">
        <v>0.4</v>
      </c>
      <c r="E75" s="154"/>
      <c r="F75" s="154"/>
      <c r="G75" s="154"/>
      <c r="H75" s="154"/>
      <c r="I75" s="154"/>
      <c r="J75" s="88">
        <v>985</v>
      </c>
      <c r="K75" s="1" t="s">
        <v>98</v>
      </c>
    </row>
    <row r="76" spans="1:11">
      <c r="A76" s="67">
        <v>1</v>
      </c>
      <c r="B76" s="155" t="s">
        <v>28</v>
      </c>
      <c r="C76" s="73"/>
      <c r="D76" s="154"/>
      <c r="E76" s="154"/>
      <c r="F76" s="154"/>
      <c r="G76" s="154"/>
      <c r="H76" s="154"/>
      <c r="I76" s="154"/>
      <c r="J76" s="22">
        <f>J75-J77</f>
        <v>24.892716455314712</v>
      </c>
      <c r="K76" s="1" t="s">
        <v>20</v>
      </c>
    </row>
    <row r="77" spans="1:11">
      <c r="A77" s="66"/>
      <c r="B77" s="155"/>
      <c r="C77" s="73" t="s">
        <v>22</v>
      </c>
      <c r="D77" s="154">
        <f>IF(D76&gt;0,(D75+D76)/2,D75)</f>
        <v>0.4</v>
      </c>
      <c r="E77" s="154"/>
      <c r="F77" s="154"/>
      <c r="G77" s="154"/>
      <c r="H77" s="154"/>
      <c r="I77" s="154"/>
      <c r="J77" s="22">
        <f>RetDozare!L163</f>
        <v>960.10728354468529</v>
      </c>
      <c r="K77" s="1" t="s">
        <v>23</v>
      </c>
    </row>
  </sheetData>
  <sheetProtection selectLockedCells="1" selectUnlockedCells="1"/>
  <mergeCells count="7">
    <mergeCell ref="J6:K6"/>
    <mergeCell ref="L6:M6"/>
    <mergeCell ref="A3:E3"/>
    <mergeCell ref="D7:E7"/>
    <mergeCell ref="B6:C6"/>
    <mergeCell ref="D6:E6"/>
    <mergeCell ref="H6:I6"/>
  </mergeCells>
  <pageMargins left="1" right="1" top="1" bottom="1" header="0.5" footer="0.5"/>
  <pageSetup paperSize="9" scale="69" orientation="landscape" useFirstPageNumber="1" r:id="rId1"/>
  <headerFooter alignWithMargins="0">
    <oddHeader>&amp;L&amp;G&amp;C&amp;"Times New Roman,Regular"&amp;11&amp;F&amp;R&amp;"Times New Roman,Regular"&amp;12Data : 12.06.2026</oddHeader>
    <oddFooter>&amp;L&amp;"Times New Roman,Regular"&amp;12Sectie  Lingouri,
Chiru Dan&amp;C&amp;11Intocmit,
Racasanu Georgeta&amp;R&amp;"Times New Roman,Regular"&amp;12                                        pg. &amp;P
Formular Cod:PGQ036.F8.00</oddFooter>
  </headerFooter>
  <rowBreaks count="1" manualBreakCount="1">
    <brk id="72" max="12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"/>
  <sheetViews>
    <sheetView tabSelected="1" topLeftCell="A43" zoomScaleNormal="100" workbookViewId="0">
      <selection activeCell="M63" sqref="M63"/>
    </sheetView>
  </sheetViews>
  <sheetFormatPr defaultColWidth="10.109375" defaultRowHeight="13.8"/>
  <cols>
    <col min="1" max="1" width="8.6640625" style="43" bestFit="1" customWidth="1"/>
    <col min="2" max="2" width="11.33203125" style="43" customWidth="1"/>
    <col min="3" max="3" width="12.44140625" style="43" customWidth="1"/>
    <col min="4" max="4" width="12.6640625" style="43" customWidth="1"/>
    <col min="5" max="5" width="10.33203125" style="43" customWidth="1"/>
    <col min="6" max="6" width="9.33203125" style="43" customWidth="1"/>
    <col min="7" max="7" width="10" style="43" customWidth="1"/>
    <col min="8" max="8" width="10.33203125" style="43" customWidth="1"/>
    <col min="9" max="9" width="10.88671875" style="43" customWidth="1"/>
    <col min="10" max="10" width="11" style="43" customWidth="1"/>
    <col min="11" max="11" width="11.6640625" style="43" customWidth="1"/>
    <col min="12" max="12" width="9.21875" style="43" customWidth="1"/>
    <col min="13" max="16384" width="10.109375" style="43"/>
  </cols>
  <sheetData>
    <row r="1" spans="1:13">
      <c r="A1" s="42"/>
      <c r="B1" s="42"/>
      <c r="C1" s="42"/>
      <c r="D1" s="42"/>
      <c r="E1" s="42"/>
      <c r="G1" s="44"/>
      <c r="H1" s="45"/>
    </row>
    <row r="2" spans="1:13" ht="14.4" thickBot="1">
      <c r="A2" s="42"/>
      <c r="B2" s="42"/>
      <c r="C2" s="42"/>
      <c r="D2" s="42"/>
      <c r="E2" s="42"/>
      <c r="G2" s="44"/>
      <c r="H2" s="45"/>
    </row>
    <row r="3" spans="1:13" ht="14.4" thickBot="1">
      <c r="A3" s="222" t="str">
        <f>astm</f>
        <v>Sp. QST4-A-BL543 Revision 00.</v>
      </c>
      <c r="B3" s="222"/>
      <c r="C3" s="222"/>
      <c r="D3" s="222"/>
      <c r="E3" s="222"/>
      <c r="G3" s="46" t="s">
        <v>0</v>
      </c>
      <c r="H3" s="47" t="str">
        <f>comanda</f>
        <v>26841</v>
      </c>
      <c r="I3" s="228" t="s">
        <v>29</v>
      </c>
      <c r="J3" s="229"/>
      <c r="K3" s="229"/>
    </row>
    <row r="4" spans="1:13" s="1" customFormat="1" ht="14.4">
      <c r="A4" s="5"/>
      <c r="B4" s="5" t="s">
        <v>1</v>
      </c>
      <c r="C4" s="5" t="s">
        <v>2</v>
      </c>
      <c r="D4" s="5" t="s">
        <v>107</v>
      </c>
      <c r="E4" s="5" t="s">
        <v>3</v>
      </c>
      <c r="F4" s="5" t="s">
        <v>108</v>
      </c>
      <c r="G4" s="41" t="s">
        <v>4</v>
      </c>
      <c r="H4" s="41" t="s">
        <v>5</v>
      </c>
      <c r="I4" s="5" t="s">
        <v>6</v>
      </c>
      <c r="J4" s="5" t="s">
        <v>7</v>
      </c>
      <c r="K4" s="5" t="s">
        <v>8</v>
      </c>
      <c r="L4" s="168" t="s">
        <v>104</v>
      </c>
      <c r="M4" s="166"/>
    </row>
    <row r="5" spans="1:13" s="1" customFormat="1" ht="28.8">
      <c r="A5" s="5"/>
      <c r="B5" s="90">
        <v>8.0000000000000004E-4</v>
      </c>
      <c r="C5" s="90">
        <v>2.5000000000000001E-3</v>
      </c>
      <c r="D5" s="90">
        <v>2.9000000000000001E-2</v>
      </c>
      <c r="E5" s="90">
        <v>3.2000000000000001E-2</v>
      </c>
      <c r="F5" s="90" t="s">
        <v>109</v>
      </c>
      <c r="G5" s="90">
        <v>1.2E-4</v>
      </c>
      <c r="H5" s="90">
        <v>4.3999999999999997E-2</v>
      </c>
      <c r="I5" s="90">
        <v>4.8000000000000001E-2</v>
      </c>
      <c r="J5" s="90">
        <v>1.9E-2</v>
      </c>
      <c r="K5" s="90">
        <v>2.3E-2</v>
      </c>
      <c r="L5" s="165">
        <v>1.4999999999999999E-2</v>
      </c>
      <c r="M5" s="165">
        <v>1.7999999999999999E-2</v>
      </c>
    </row>
    <row r="6" spans="1:13" s="1" customFormat="1" ht="14.4">
      <c r="A6" s="8" t="s">
        <v>116</v>
      </c>
      <c r="B6" s="90"/>
      <c r="C6" s="215">
        <v>9.7999999999999997E-4</v>
      </c>
      <c r="D6" s="230">
        <v>3.1E-2</v>
      </c>
      <c r="E6" s="230"/>
      <c r="F6" s="7"/>
      <c r="G6" s="7"/>
      <c r="H6" s="215" t="s">
        <v>14</v>
      </c>
      <c r="I6" s="215">
        <v>4.9500000000000002E-2</v>
      </c>
      <c r="J6" s="215" t="s">
        <v>13</v>
      </c>
      <c r="K6" s="215">
        <v>2.1499999999999998E-2</v>
      </c>
      <c r="L6" s="215" t="s">
        <v>104</v>
      </c>
      <c r="M6" s="215">
        <v>1.7000000000000001E-2</v>
      </c>
    </row>
    <row r="7" spans="1:13">
      <c r="A7" s="49"/>
    </row>
    <row r="8" spans="1:13" ht="14.4" thickBot="1">
      <c r="A8" s="223" t="s">
        <v>114</v>
      </c>
      <c r="B8" s="224"/>
      <c r="C8" s="224"/>
      <c r="D8" s="224"/>
      <c r="E8" s="224"/>
      <c r="F8" s="224"/>
      <c r="G8" s="224"/>
      <c r="H8" s="225"/>
    </row>
    <row r="9" spans="1:13">
      <c r="A9" s="133"/>
      <c r="B9" s="138"/>
      <c r="C9" s="187" t="s">
        <v>30</v>
      </c>
      <c r="D9" s="187" t="s">
        <v>31</v>
      </c>
      <c r="E9" s="134"/>
      <c r="F9" s="134" t="s">
        <v>32</v>
      </c>
      <c r="G9" s="134" t="s">
        <v>33</v>
      </c>
      <c r="H9" s="134" t="s">
        <v>34</v>
      </c>
      <c r="I9" s="115"/>
      <c r="K9" s="226" t="s">
        <v>35</v>
      </c>
      <c r="L9" s="226"/>
    </row>
    <row r="10" spans="1:13">
      <c r="A10" s="135" t="s">
        <v>36</v>
      </c>
      <c r="B10" s="96" t="s">
        <v>37</v>
      </c>
      <c r="C10" s="188">
        <v>22</v>
      </c>
      <c r="D10" s="189">
        <v>4</v>
      </c>
      <c r="E10" s="227"/>
      <c r="F10" s="227"/>
      <c r="G10" s="50"/>
      <c r="H10" s="50"/>
      <c r="I10" s="116"/>
      <c r="K10" s="123">
        <f>I6</f>
        <v>4.9500000000000002E-2</v>
      </c>
      <c r="L10" s="50" t="s">
        <v>14</v>
      </c>
    </row>
    <row r="11" spans="1:13">
      <c r="A11" s="119"/>
      <c r="B11" s="96" t="s">
        <v>38</v>
      </c>
      <c r="C11" s="188">
        <v>40</v>
      </c>
      <c r="D11" s="189"/>
      <c r="E11" s="50"/>
      <c r="F11" s="50"/>
      <c r="G11" s="50"/>
      <c r="H11" s="50"/>
      <c r="I11" s="116"/>
      <c r="K11" s="123">
        <f>K6</f>
        <v>2.1499999999999998E-2</v>
      </c>
      <c r="L11" s="50" t="s">
        <v>13</v>
      </c>
    </row>
    <row r="12" spans="1:13">
      <c r="A12" s="119"/>
      <c r="B12" s="96" t="s">
        <v>39</v>
      </c>
      <c r="C12" s="94"/>
      <c r="D12" s="52">
        <v>0.35</v>
      </c>
      <c r="E12" s="50"/>
      <c r="F12" s="52"/>
      <c r="G12" s="52"/>
      <c r="H12" s="52"/>
      <c r="I12" s="116"/>
      <c r="K12" s="123">
        <f>C6</f>
        <v>9.7999999999999997E-4</v>
      </c>
      <c r="L12" s="50" t="s">
        <v>10</v>
      </c>
    </row>
    <row r="13" spans="1:13">
      <c r="A13" s="119"/>
      <c r="B13" s="96" t="s">
        <v>40</v>
      </c>
      <c r="C13" s="94"/>
      <c r="D13" s="52">
        <f>4*D14/(3.14*D12^2*4430*0.74)</f>
        <v>2.7915247373938534</v>
      </c>
      <c r="E13" s="52"/>
      <c r="F13" s="52"/>
      <c r="G13" s="52"/>
      <c r="H13" s="52"/>
      <c r="I13" s="117"/>
      <c r="K13" s="171">
        <f>D6</f>
        <v>3.1E-2</v>
      </c>
      <c r="L13" s="172" t="s">
        <v>11</v>
      </c>
    </row>
    <row r="14" spans="1:13">
      <c r="A14" s="136"/>
      <c r="B14" s="96" t="s">
        <v>15</v>
      </c>
      <c r="C14" s="94"/>
      <c r="D14" s="52">
        <f>C11*nrpresbara</f>
        <v>880</v>
      </c>
      <c r="E14" s="52"/>
      <c r="F14" s="52"/>
      <c r="G14" s="52"/>
      <c r="H14" s="52">
        <v>0.2</v>
      </c>
      <c r="I14" s="116"/>
      <c r="K14" s="173">
        <f>M6</f>
        <v>1.7000000000000001E-2</v>
      </c>
      <c r="L14" s="96" t="s">
        <v>104</v>
      </c>
    </row>
    <row r="15" spans="1:13">
      <c r="A15" s="135" t="s">
        <v>41</v>
      </c>
      <c r="B15" s="96" t="s">
        <v>42</v>
      </c>
      <c r="C15" s="58">
        <f>IF(C10&gt;22,2,1)</f>
        <v>1</v>
      </c>
      <c r="D15" s="53">
        <v>1</v>
      </c>
      <c r="E15" s="52"/>
      <c r="F15" s="52"/>
      <c r="G15" s="52"/>
      <c r="H15" s="52"/>
      <c r="I15" s="116"/>
    </row>
    <row r="16" spans="1:13">
      <c r="A16" s="136"/>
      <c r="B16" s="96" t="s">
        <v>15</v>
      </c>
      <c r="C16" s="94">
        <f>IF(C10&gt;22,D14/C15,D14)</f>
        <v>880</v>
      </c>
      <c r="D16" s="52">
        <f>C16*C15</f>
        <v>880</v>
      </c>
      <c r="E16" s="52"/>
      <c r="F16" s="52"/>
      <c r="G16" s="52"/>
      <c r="H16" s="52"/>
      <c r="I16" s="116"/>
    </row>
    <row r="17" spans="1:12">
      <c r="A17" s="119" t="s">
        <v>45</v>
      </c>
      <c r="B17" s="139"/>
      <c r="C17" s="60"/>
      <c r="D17" s="53">
        <f>D10</f>
        <v>4</v>
      </c>
      <c r="E17" s="54" t="s">
        <v>46</v>
      </c>
      <c r="F17" s="52"/>
      <c r="G17" s="52"/>
      <c r="H17" s="52"/>
      <c r="I17" s="118" t="s">
        <v>100</v>
      </c>
      <c r="K17" s="226" t="s">
        <v>43</v>
      </c>
      <c r="L17" s="226"/>
    </row>
    <row r="18" spans="1:12" ht="14.4">
      <c r="A18" s="119"/>
      <c r="B18" s="96" t="s">
        <v>39</v>
      </c>
      <c r="C18" s="94">
        <f>D12</f>
        <v>0.35</v>
      </c>
      <c r="D18" s="52">
        <v>0.44</v>
      </c>
      <c r="E18" s="50"/>
      <c r="F18" s="52"/>
      <c r="G18" s="52"/>
      <c r="H18" s="52"/>
      <c r="I18" s="103">
        <f>D18+0.01</f>
        <v>0.45</v>
      </c>
      <c r="K18" s="48" t="s">
        <v>44</v>
      </c>
      <c r="L18" s="164">
        <v>355130</v>
      </c>
    </row>
    <row r="19" spans="1:12">
      <c r="A19" s="119"/>
      <c r="B19" s="96" t="s">
        <v>40</v>
      </c>
      <c r="C19" s="94">
        <f>D13</f>
        <v>2.7915247373938534</v>
      </c>
      <c r="D19" s="52">
        <f>D20*4/(D18^2*3.14*4450)</f>
        <v>1.2952961821884355</v>
      </c>
      <c r="E19" s="52"/>
      <c r="F19" s="52"/>
      <c r="G19" s="52"/>
      <c r="H19" s="52"/>
      <c r="I19" s="103">
        <f>D19/0.95</f>
        <v>1.363469665461511</v>
      </c>
      <c r="K19" s="55">
        <f>alalv1</f>
        <v>0.33800000000000002</v>
      </c>
      <c r="L19" s="50" t="s">
        <v>14</v>
      </c>
    </row>
    <row r="20" spans="1:12">
      <c r="A20" s="119"/>
      <c r="B20" s="96" t="s">
        <v>15</v>
      </c>
      <c r="C20" s="94">
        <f>D16</f>
        <v>880</v>
      </c>
      <c r="D20" s="52">
        <f>C20+C21-H20</f>
        <v>876</v>
      </c>
      <c r="E20" s="52"/>
      <c r="F20" s="52"/>
      <c r="G20" s="52"/>
      <c r="H20" s="52">
        <v>5</v>
      </c>
      <c r="I20" s="111">
        <f>D20</f>
        <v>876</v>
      </c>
      <c r="K20" s="55">
        <f>valv1</f>
        <v>0.65700000000000003</v>
      </c>
      <c r="L20" s="50" t="s">
        <v>13</v>
      </c>
    </row>
    <row r="21" spans="1:12">
      <c r="A21" s="136"/>
      <c r="B21" s="139" t="s">
        <v>47</v>
      </c>
      <c r="C21" s="190">
        <v>1</v>
      </c>
      <c r="D21" s="52"/>
      <c r="E21" s="52"/>
      <c r="F21" s="52"/>
      <c r="G21" s="52" t="s">
        <v>48</v>
      </c>
      <c r="H21" s="52">
        <v>2</v>
      </c>
      <c r="I21" s="116"/>
      <c r="K21" s="55">
        <f>IF(L18=lotalv1,oxalv1,IF(L18=lotalv2,oxalv2,"ERR LOT"))</f>
        <v>4.0000000000000002E-4</v>
      </c>
      <c r="L21" s="50" t="s">
        <v>10</v>
      </c>
    </row>
    <row r="22" spans="1:12">
      <c r="A22" s="137" t="s">
        <v>49</v>
      </c>
      <c r="B22" s="96" t="s">
        <v>39</v>
      </c>
      <c r="C22" s="94">
        <f>D18</f>
        <v>0.44</v>
      </c>
      <c r="D22" s="52">
        <f>C22-0.005</f>
        <v>0.435</v>
      </c>
      <c r="E22" s="52"/>
      <c r="F22" s="52"/>
      <c r="G22" s="52"/>
      <c r="H22" s="52"/>
      <c r="I22" s="116"/>
      <c r="K22" s="55">
        <f>IF(L18=lotalv1,fealv1,IF(L18=lotalv2,fealv2,"ERR LOT"))</f>
        <v>2E-3</v>
      </c>
      <c r="L22" s="50" t="s">
        <v>11</v>
      </c>
    </row>
    <row r="23" spans="1:12">
      <c r="A23" s="119"/>
      <c r="B23" s="96" t="s">
        <v>40</v>
      </c>
      <c r="C23" s="94">
        <f>D19</f>
        <v>1.2952961821884355</v>
      </c>
      <c r="D23" s="52">
        <f>C23-0.002</f>
        <v>1.2932961821884355</v>
      </c>
      <c r="E23" s="52"/>
      <c r="F23" s="52"/>
      <c r="G23" s="52"/>
      <c r="H23" s="52"/>
      <c r="I23" s="116"/>
    </row>
    <row r="24" spans="1:12">
      <c r="A24" s="136"/>
      <c r="B24" s="96" t="s">
        <v>15</v>
      </c>
      <c r="C24" s="191">
        <f>D20</f>
        <v>876</v>
      </c>
      <c r="D24" s="192">
        <f>3.14*D22^2/4*D23*4450</f>
        <v>854.88200846311997</v>
      </c>
      <c r="E24" s="54" t="s">
        <v>50</v>
      </c>
      <c r="F24" s="52"/>
      <c r="G24" s="52">
        <f>D20-D24</f>
        <v>21.117991536880027</v>
      </c>
      <c r="H24" s="52"/>
      <c r="I24" s="174"/>
    </row>
    <row r="25" spans="1:12">
      <c r="A25" s="135" t="s">
        <v>51</v>
      </c>
      <c r="B25" s="96"/>
      <c r="C25" s="193">
        <v>2</v>
      </c>
      <c r="D25" s="96">
        <v>1</v>
      </c>
      <c r="E25" s="94"/>
      <c r="F25" s="52"/>
      <c r="G25" s="52"/>
      <c r="H25" s="52"/>
      <c r="I25" s="174"/>
    </row>
    <row r="26" spans="1:12">
      <c r="A26" s="136"/>
      <c r="B26" s="96"/>
      <c r="C26" s="194">
        <f>D24</f>
        <v>854.88200846311997</v>
      </c>
      <c r="D26" s="95">
        <f>C26*C25</f>
        <v>1709.7640169262399</v>
      </c>
      <c r="E26" s="52"/>
      <c r="F26" s="52"/>
      <c r="G26" s="52"/>
      <c r="H26" s="52"/>
      <c r="I26" s="174"/>
    </row>
    <row r="27" spans="1:12">
      <c r="A27" s="135" t="s">
        <v>52</v>
      </c>
      <c r="B27" s="96"/>
      <c r="C27" s="94"/>
      <c r="D27" s="53">
        <v>1</v>
      </c>
      <c r="E27" s="54" t="s">
        <v>53</v>
      </c>
      <c r="F27" s="52"/>
      <c r="G27" s="52"/>
      <c r="H27" s="52"/>
      <c r="I27" s="175" t="s">
        <v>100</v>
      </c>
    </row>
    <row r="28" spans="1:12">
      <c r="A28" s="119"/>
      <c r="B28" s="96" t="s">
        <v>39</v>
      </c>
      <c r="C28" s="94">
        <f>D22</f>
        <v>0.435</v>
      </c>
      <c r="D28" s="52">
        <v>0.49</v>
      </c>
      <c r="E28" s="52"/>
      <c r="F28" s="52"/>
      <c r="G28" s="52"/>
      <c r="H28" s="52"/>
      <c r="I28" s="176">
        <f>D28+0.01</f>
        <v>0.5</v>
      </c>
    </row>
    <row r="29" spans="1:12">
      <c r="A29" s="119"/>
      <c r="B29" s="96" t="s">
        <v>40</v>
      </c>
      <c r="C29" s="94">
        <f>D23*C25</f>
        <v>2.5865923643768709</v>
      </c>
      <c r="D29" s="52">
        <f>D30*4/(D28^2*3.14*4450)</f>
        <v>2.0337479161423619</v>
      </c>
      <c r="E29" s="52"/>
      <c r="F29" s="52"/>
      <c r="G29" s="52"/>
      <c r="H29" s="52"/>
      <c r="I29" s="176">
        <f>D29/0.95</f>
        <v>2.1407872801498549</v>
      </c>
    </row>
    <row r="30" spans="1:12">
      <c r="A30" s="119"/>
      <c r="B30" s="96" t="s">
        <v>15</v>
      </c>
      <c r="C30" s="94">
        <f>D26</f>
        <v>1709.7640169262399</v>
      </c>
      <c r="D30" s="52">
        <f>C30+C31-H30</f>
        <v>1705.7640169262399</v>
      </c>
      <c r="E30" s="52"/>
      <c r="F30" s="52"/>
      <c r="G30" s="52"/>
      <c r="H30" s="52">
        <v>5</v>
      </c>
      <c r="I30" s="177">
        <f>D30</f>
        <v>1705.7640169262399</v>
      </c>
    </row>
    <row r="31" spans="1:12">
      <c r="A31" s="136"/>
      <c r="B31" s="96" t="s">
        <v>47</v>
      </c>
      <c r="C31" s="190">
        <v>1</v>
      </c>
      <c r="D31" s="52"/>
      <c r="E31" s="52"/>
      <c r="F31" s="52"/>
      <c r="G31" s="50" t="s">
        <v>48</v>
      </c>
      <c r="H31" s="52">
        <v>3</v>
      </c>
      <c r="I31" s="174"/>
    </row>
    <row r="32" spans="1:12">
      <c r="A32" s="137" t="s">
        <v>54</v>
      </c>
      <c r="B32" s="96" t="s">
        <v>39</v>
      </c>
      <c r="C32" s="94">
        <f>D28</f>
        <v>0.49</v>
      </c>
      <c r="D32" s="52">
        <v>0.48799999999999999</v>
      </c>
      <c r="E32" s="52"/>
      <c r="F32" s="52"/>
      <c r="G32" s="52"/>
      <c r="H32" s="52"/>
      <c r="I32" s="174"/>
    </row>
    <row r="33" spans="1:9">
      <c r="A33" s="119"/>
      <c r="B33" s="96" t="s">
        <v>40</v>
      </c>
      <c r="C33" s="94">
        <f>D29</f>
        <v>2.0337479161423619</v>
      </c>
      <c r="D33" s="52">
        <f>C33-0.002</f>
        <v>2.0317479161423622</v>
      </c>
      <c r="E33" s="52"/>
      <c r="F33" s="52"/>
      <c r="G33" s="52"/>
      <c r="H33" s="52"/>
      <c r="I33" s="174"/>
    </row>
    <row r="34" spans="1:9">
      <c r="A34" s="136"/>
      <c r="B34" s="96" t="s">
        <v>15</v>
      </c>
      <c r="C34" s="94">
        <f>D30</f>
        <v>1705.7640169262399</v>
      </c>
      <c r="D34" s="52">
        <f>3.14*D32^2/4*D33*4450</f>
        <v>1690.2040372100662</v>
      </c>
      <c r="E34" s="54" t="s">
        <v>55</v>
      </c>
      <c r="F34" s="52">
        <f>(C34-D34)*3/4</f>
        <v>11.669984787130318</v>
      </c>
      <c r="G34" s="52">
        <f>(C34-D34)*1/4</f>
        <v>3.8899949290434392</v>
      </c>
      <c r="H34" s="52"/>
      <c r="I34" s="174"/>
    </row>
    <row r="35" spans="1:9">
      <c r="A35" s="135" t="s">
        <v>117</v>
      </c>
      <c r="B35" s="96"/>
      <c r="C35" s="94">
        <v>2</v>
      </c>
      <c r="D35" s="52">
        <v>1</v>
      </c>
      <c r="E35" s="54"/>
      <c r="F35" s="52"/>
      <c r="G35" s="52"/>
      <c r="H35" s="52"/>
      <c r="I35" s="174"/>
    </row>
    <row r="36" spans="1:9">
      <c r="A36" s="136"/>
      <c r="B36" s="96"/>
      <c r="C36" s="94">
        <f>D34</f>
        <v>1690.2040372100662</v>
      </c>
      <c r="D36" s="95">
        <f>C36*C35</f>
        <v>3380.4080744201324</v>
      </c>
      <c r="E36" s="54"/>
      <c r="F36" s="52"/>
      <c r="G36" s="52"/>
      <c r="H36" s="52"/>
      <c r="I36" s="174"/>
    </row>
    <row r="37" spans="1:9">
      <c r="A37" s="135" t="s">
        <v>118</v>
      </c>
      <c r="B37" s="96"/>
      <c r="C37" s="94"/>
      <c r="D37" s="53">
        <v>1</v>
      </c>
      <c r="E37" s="54"/>
      <c r="F37" s="52"/>
      <c r="G37" s="52"/>
      <c r="H37" s="52"/>
      <c r="I37" s="175" t="s">
        <v>100</v>
      </c>
    </row>
    <row r="38" spans="1:9">
      <c r="A38" s="119"/>
      <c r="B38" s="96" t="s">
        <v>39</v>
      </c>
      <c r="C38" s="94">
        <f>D32</f>
        <v>0.48799999999999999</v>
      </c>
      <c r="D38" s="52">
        <v>0.59</v>
      </c>
      <c r="E38" s="54" t="s">
        <v>115</v>
      </c>
      <c r="F38" s="52"/>
      <c r="G38" s="52"/>
      <c r="H38" s="52"/>
      <c r="I38" s="176">
        <f>D38+0.01</f>
        <v>0.6</v>
      </c>
    </row>
    <row r="39" spans="1:9">
      <c r="A39" s="119"/>
      <c r="B39" s="96" t="s">
        <v>40</v>
      </c>
      <c r="C39" s="94">
        <f>D33*C35</f>
        <v>4.0634958322847243</v>
      </c>
      <c r="D39" s="52">
        <f>D40*4/(D38^2*3.14*4450)</f>
        <v>2.7766506348755566</v>
      </c>
      <c r="E39" s="52"/>
      <c r="F39" s="52"/>
      <c r="G39" s="52"/>
      <c r="H39" s="52"/>
      <c r="I39" s="176">
        <f>D39/0.95</f>
        <v>2.9227901419742701</v>
      </c>
    </row>
    <row r="40" spans="1:9">
      <c r="A40" s="119"/>
      <c r="B40" s="96" t="s">
        <v>15</v>
      </c>
      <c r="C40" s="94">
        <f>D36</f>
        <v>3380.4080744201324</v>
      </c>
      <c r="D40" s="52">
        <f>C40+C41-H40</f>
        <v>3376.4080744201324</v>
      </c>
      <c r="E40" s="52"/>
      <c r="F40" s="52"/>
      <c r="G40" s="52"/>
      <c r="H40" s="52">
        <v>5</v>
      </c>
      <c r="I40" s="177">
        <f>D40</f>
        <v>3376.4080744201324</v>
      </c>
    </row>
    <row r="41" spans="1:9">
      <c r="A41" s="136"/>
      <c r="B41" s="96" t="s">
        <v>47</v>
      </c>
      <c r="C41" s="190">
        <v>1</v>
      </c>
      <c r="D41" s="195"/>
      <c r="E41" s="52"/>
      <c r="F41" s="52"/>
      <c r="G41" s="52"/>
      <c r="H41" s="52">
        <v>3</v>
      </c>
      <c r="I41" s="174"/>
    </row>
    <row r="42" spans="1:9">
      <c r="A42" s="137" t="s">
        <v>54</v>
      </c>
      <c r="B42" s="96" t="s">
        <v>39</v>
      </c>
      <c r="C42" s="94">
        <f>D38</f>
        <v>0.59</v>
      </c>
      <c r="D42" s="52">
        <v>0.58799999999999997</v>
      </c>
      <c r="E42" s="52"/>
      <c r="F42" s="52"/>
      <c r="G42" s="52"/>
      <c r="H42" s="52"/>
      <c r="I42" s="174"/>
    </row>
    <row r="43" spans="1:9">
      <c r="A43" s="119"/>
      <c r="B43" s="96" t="s">
        <v>40</v>
      </c>
      <c r="C43" s="94">
        <f>D39</f>
        <v>2.7766506348755566</v>
      </c>
      <c r="D43" s="52">
        <f>C43-0.002</f>
        <v>2.7746506348755569</v>
      </c>
      <c r="E43" s="52"/>
      <c r="F43" s="52"/>
      <c r="G43" s="52"/>
      <c r="H43" s="52"/>
      <c r="I43" s="174"/>
    </row>
    <row r="44" spans="1:9">
      <c r="A44" s="136"/>
      <c r="B44" s="96" t="s">
        <v>15</v>
      </c>
      <c r="C44" s="94">
        <f>D40</f>
        <v>3376.4080744201324</v>
      </c>
      <c r="D44" s="52">
        <f>3.14*D42^2/4*D43*4450</f>
        <v>3351.1404299039959</v>
      </c>
      <c r="E44" s="54" t="s">
        <v>55</v>
      </c>
      <c r="F44" s="52">
        <f>(C44-D44)*3/4</f>
        <v>18.950733387102332</v>
      </c>
      <c r="G44" s="52">
        <f>(C44-D44)*1/4</f>
        <v>6.3169111290341107</v>
      </c>
      <c r="H44" s="52"/>
      <c r="I44" s="174"/>
    </row>
    <row r="45" spans="1:9">
      <c r="A45" s="135" t="s">
        <v>56</v>
      </c>
      <c r="B45" s="96" t="s">
        <v>39</v>
      </c>
      <c r="C45" s="94">
        <f>D42</f>
        <v>0.58799999999999997</v>
      </c>
      <c r="D45" s="196">
        <f>C45</f>
        <v>0.58799999999999997</v>
      </c>
      <c r="E45" s="52"/>
      <c r="F45" s="52"/>
      <c r="G45" s="52"/>
      <c r="H45" s="52"/>
      <c r="I45" s="178"/>
    </row>
    <row r="46" spans="1:9">
      <c r="A46" s="119"/>
      <c r="B46" s="96" t="s">
        <v>40</v>
      </c>
      <c r="C46" s="94">
        <f>D43</f>
        <v>2.7746506348755569</v>
      </c>
      <c r="D46" s="196">
        <f>C46-D49-D52-0.006</f>
        <v>2.5986506348755571</v>
      </c>
      <c r="E46" s="52"/>
      <c r="F46" s="52"/>
      <c r="G46" s="52"/>
      <c r="H46" s="52"/>
      <c r="I46" s="178"/>
    </row>
    <row r="47" spans="1:9">
      <c r="A47" s="136"/>
      <c r="B47" s="96" t="s">
        <v>15</v>
      </c>
      <c r="C47" s="94">
        <f>D44</f>
        <v>3351.1404299039959</v>
      </c>
      <c r="D47" s="196">
        <f>3.14*D45^2/4*D46*4450</f>
        <v>3138.572869775996</v>
      </c>
      <c r="E47" s="54" t="s">
        <v>57</v>
      </c>
      <c r="F47" s="52"/>
      <c r="G47" s="52">
        <f>3.14*D45^2/4*0.006*4450</f>
        <v>7.2466213680000005</v>
      </c>
      <c r="H47" s="52"/>
      <c r="I47" s="178"/>
    </row>
    <row r="48" spans="1:9">
      <c r="A48" s="135" t="s">
        <v>58</v>
      </c>
      <c r="B48" s="96" t="s">
        <v>39</v>
      </c>
      <c r="C48" s="60"/>
      <c r="D48" s="52">
        <f>D45</f>
        <v>0.58799999999999997</v>
      </c>
      <c r="E48" s="52"/>
      <c r="F48" s="52"/>
      <c r="G48" s="52"/>
      <c r="H48" s="52"/>
      <c r="I48" s="174"/>
    </row>
    <row r="49" spans="1:9">
      <c r="A49" s="119"/>
      <c r="B49" s="96" t="s">
        <v>40</v>
      </c>
      <c r="C49" s="60"/>
      <c r="D49" s="52">
        <v>0.12</v>
      </c>
      <c r="E49" s="50"/>
      <c r="F49" s="50"/>
      <c r="G49" s="50"/>
      <c r="H49" s="52"/>
      <c r="I49" s="174"/>
    </row>
    <row r="50" spans="1:9">
      <c r="A50" s="136"/>
      <c r="B50" s="96" t="s">
        <v>15</v>
      </c>
      <c r="C50" s="60"/>
      <c r="D50" s="52">
        <f>3.14*D48^2/4*D49*4450</f>
        <v>144.93242735999999</v>
      </c>
      <c r="E50" s="54" t="s">
        <v>59</v>
      </c>
      <c r="F50" s="52">
        <f>D50</f>
        <v>144.93242735999999</v>
      </c>
      <c r="G50" s="52"/>
      <c r="H50" s="52"/>
      <c r="I50" s="174"/>
    </row>
    <row r="51" spans="1:9">
      <c r="A51" s="135" t="s">
        <v>60</v>
      </c>
      <c r="B51" s="96" t="s">
        <v>39</v>
      </c>
      <c r="C51" s="60"/>
      <c r="D51" s="52">
        <f>D45</f>
        <v>0.58799999999999997</v>
      </c>
      <c r="E51" s="52"/>
      <c r="F51" s="52"/>
      <c r="G51" s="52"/>
      <c r="H51" s="52"/>
      <c r="I51" s="174"/>
    </row>
    <row r="52" spans="1:9">
      <c r="A52" s="119"/>
      <c r="B52" s="96" t="s">
        <v>40</v>
      </c>
      <c r="C52" s="60"/>
      <c r="D52" s="52">
        <v>0.05</v>
      </c>
      <c r="E52" s="52"/>
      <c r="F52" s="52"/>
      <c r="G52" s="52"/>
      <c r="H52" s="52"/>
      <c r="I52" s="174"/>
    </row>
    <row r="53" spans="1:9" ht="14.4" thickBot="1">
      <c r="A53" s="140"/>
      <c r="B53" s="149" t="s">
        <v>15</v>
      </c>
      <c r="C53" s="197"/>
      <c r="D53" s="120">
        <f>3.14*D51^2/4*D52*4450</f>
        <v>60.388511399999999</v>
      </c>
      <c r="E53" s="121" t="s">
        <v>61</v>
      </c>
      <c r="F53" s="120">
        <f>D53</f>
        <v>60.388511399999999</v>
      </c>
      <c r="G53" s="120"/>
      <c r="H53" s="120"/>
      <c r="I53" s="179"/>
    </row>
    <row r="54" spans="1:9">
      <c r="A54" s="141" t="s">
        <v>62</v>
      </c>
      <c r="B54" s="148" t="s">
        <v>63</v>
      </c>
      <c r="C54" s="198">
        <f>C10*C11*D10-C55-C56</f>
        <v>3269.5040487062406</v>
      </c>
      <c r="D54" s="62">
        <f>D47</f>
        <v>3138.572869775996</v>
      </c>
      <c r="E54" s="113" t="s">
        <v>64</v>
      </c>
      <c r="F54" s="99"/>
      <c r="G54" s="95"/>
      <c r="H54" s="114"/>
      <c r="I54" s="174"/>
    </row>
    <row r="55" spans="1:9">
      <c r="A55" s="119"/>
      <c r="B55" s="142" t="s">
        <v>65</v>
      </c>
      <c r="C55" s="199">
        <f>C10*C11*D10*K11/K20</f>
        <v>115.19025875190258</v>
      </c>
      <c r="D55" s="53">
        <f>F50</f>
        <v>144.93242735999999</v>
      </c>
      <c r="E55" s="56" t="s">
        <v>66</v>
      </c>
      <c r="F55" s="50"/>
      <c r="G55" s="52"/>
      <c r="H55" s="103"/>
      <c r="I55" s="174"/>
    </row>
    <row r="56" spans="1:9">
      <c r="A56" s="119"/>
      <c r="B56" s="142" t="s">
        <v>14</v>
      </c>
      <c r="C56" s="199">
        <f>C10*C11*D10*K10-C55*K19</f>
        <v>135.30569254185693</v>
      </c>
      <c r="D56" s="53">
        <f>F53</f>
        <v>60.388511399999999</v>
      </c>
      <c r="E56" s="56" t="s">
        <v>67</v>
      </c>
      <c r="F56" s="50"/>
      <c r="G56" s="52"/>
      <c r="H56" s="103"/>
      <c r="I56" s="174"/>
    </row>
    <row r="57" spans="1:9">
      <c r="A57" s="119"/>
      <c r="B57" s="142" t="s">
        <v>27</v>
      </c>
      <c r="C57" s="58">
        <f>C10*C11*D10*(0.0009-0.00033)/0.4</f>
        <v>5.0159999999999991</v>
      </c>
      <c r="D57" s="53">
        <f>F34</f>
        <v>11.669984787130318</v>
      </c>
      <c r="E57" s="56" t="s">
        <v>68</v>
      </c>
      <c r="F57" s="50"/>
      <c r="G57" s="52"/>
      <c r="H57" s="103"/>
      <c r="I57" s="174"/>
    </row>
    <row r="58" spans="1:9" ht="14.4">
      <c r="A58" s="119"/>
      <c r="B58" s="142" t="s">
        <v>11</v>
      </c>
      <c r="C58" s="170">
        <f>C11*C10*D10*(0.0305-0.00015)/0.99</f>
        <v>107.91111111111111</v>
      </c>
      <c r="D58" s="50"/>
      <c r="E58" s="50"/>
      <c r="F58" s="50"/>
      <c r="G58" s="52"/>
      <c r="H58" s="103"/>
      <c r="I58" s="174"/>
    </row>
    <row r="59" spans="1:9" ht="14.4">
      <c r="A59" s="119"/>
      <c r="B59" s="181" t="s">
        <v>104</v>
      </c>
      <c r="C59" s="170">
        <f>C11*C10*D10*0.017/0.99</f>
        <v>60.44444444444445</v>
      </c>
      <c r="D59" s="172"/>
      <c r="E59" s="172"/>
      <c r="F59" s="172"/>
      <c r="G59" s="182"/>
      <c r="H59" s="183"/>
      <c r="I59" s="174"/>
    </row>
    <row r="60" spans="1:9" ht="14.4" thickBot="1">
      <c r="A60" s="140"/>
      <c r="B60" s="150" t="s">
        <v>69</v>
      </c>
      <c r="C60" s="200">
        <f>C21*D17+C31</f>
        <v>5</v>
      </c>
      <c r="D60" s="105">
        <f>H14*D10+H20*D17+G24*D17+H30+G34+G47</f>
        <v>121.40858244456355</v>
      </c>
      <c r="E60" s="104" t="s">
        <v>70</v>
      </c>
      <c r="F60" s="106"/>
      <c r="G60" s="104" t="s">
        <v>48</v>
      </c>
      <c r="H60" s="107">
        <f>H21*D17+H31</f>
        <v>11</v>
      </c>
      <c r="I60" s="174"/>
    </row>
    <row r="61" spans="1:9">
      <c r="A61" s="143" t="s">
        <v>62</v>
      </c>
      <c r="B61" s="147"/>
      <c r="C61" s="201"/>
      <c r="D61" s="202"/>
      <c r="E61" s="108">
        <v>4</v>
      </c>
      <c r="F61" s="102"/>
      <c r="G61" s="109"/>
      <c r="H61" s="110"/>
      <c r="I61" s="174"/>
    </row>
    <row r="62" spans="1:9">
      <c r="A62" s="119" t="s">
        <v>71</v>
      </c>
      <c r="B62" s="146" t="s">
        <v>63</v>
      </c>
      <c r="C62" s="203">
        <f>E61*C54</f>
        <v>13078.016194824962</v>
      </c>
      <c r="D62" s="204">
        <f>D54*E61</f>
        <v>12554.291479103984</v>
      </c>
      <c r="E62" s="58" t="s">
        <v>72</v>
      </c>
      <c r="F62" s="50"/>
      <c r="G62" s="50"/>
      <c r="H62" s="111"/>
      <c r="I62" s="174"/>
    </row>
    <row r="63" spans="1:9">
      <c r="A63" s="144"/>
      <c r="B63" s="146" t="s">
        <v>65</v>
      </c>
      <c r="C63" s="203">
        <f>E61*C55</f>
        <v>460.7610350076103</v>
      </c>
      <c r="D63" s="204">
        <f>D55*E61</f>
        <v>579.72970943999997</v>
      </c>
      <c r="E63" s="58" t="s">
        <v>66</v>
      </c>
      <c r="F63" s="50"/>
      <c r="G63" s="53"/>
      <c r="H63" s="111"/>
      <c r="I63" s="174"/>
    </row>
    <row r="64" spans="1:9">
      <c r="A64" s="144"/>
      <c r="B64" s="146" t="s">
        <v>14</v>
      </c>
      <c r="C64" s="203">
        <f>E61*C56</f>
        <v>541.22277016742771</v>
      </c>
      <c r="D64" s="204">
        <f>D56*E61</f>
        <v>241.55404559999999</v>
      </c>
      <c r="E64" s="58" t="s">
        <v>67</v>
      </c>
      <c r="F64" s="50"/>
      <c r="G64" s="53"/>
      <c r="H64" s="111"/>
      <c r="I64" s="174"/>
    </row>
    <row r="65" spans="1:9">
      <c r="A65" s="144"/>
      <c r="B65" s="146" t="s">
        <v>27</v>
      </c>
      <c r="C65" s="203">
        <f>E61*C57</f>
        <v>20.063999999999997</v>
      </c>
      <c r="D65" s="204">
        <f>D57*E61</f>
        <v>46.679939148521271</v>
      </c>
      <c r="E65" s="58" t="s">
        <v>68</v>
      </c>
      <c r="F65" s="50"/>
      <c r="G65" s="53"/>
      <c r="H65" s="111"/>
      <c r="I65" s="174"/>
    </row>
    <row r="66" spans="1:9">
      <c r="A66" s="144"/>
      <c r="B66" s="146" t="s">
        <v>11</v>
      </c>
      <c r="C66" s="203">
        <f>C58*E61</f>
        <v>431.64444444444445</v>
      </c>
      <c r="D66" s="205"/>
      <c r="E66" s="60"/>
      <c r="F66" s="50"/>
      <c r="G66" s="53"/>
      <c r="H66" s="111"/>
      <c r="I66" s="174"/>
    </row>
    <row r="67" spans="1:9">
      <c r="A67" s="144"/>
      <c r="B67" s="181" t="s">
        <v>104</v>
      </c>
      <c r="C67" s="203">
        <f>C59*E61</f>
        <v>241.7777777777778</v>
      </c>
      <c r="D67" s="206"/>
      <c r="E67" s="184"/>
      <c r="F67" s="172"/>
      <c r="G67" s="185"/>
      <c r="H67" s="186"/>
      <c r="I67" s="174"/>
    </row>
    <row r="68" spans="1:9" ht="14.4" thickBot="1">
      <c r="A68" s="145"/>
      <c r="B68" s="151" t="s">
        <v>69</v>
      </c>
      <c r="C68" s="207">
        <f>E61*C60</f>
        <v>20</v>
      </c>
      <c r="D68" s="208">
        <f>D60*E61</f>
        <v>485.6343297782542</v>
      </c>
      <c r="E68" s="112" t="s">
        <v>70</v>
      </c>
      <c r="F68" s="106"/>
      <c r="G68" s="105" t="s">
        <v>48</v>
      </c>
      <c r="H68" s="107">
        <f>H60*E61</f>
        <v>44</v>
      </c>
      <c r="I68" s="180"/>
    </row>
    <row r="69" spans="1:9" hidden="1">
      <c r="A69" s="97" t="s">
        <v>62</v>
      </c>
      <c r="B69" s="98"/>
      <c r="C69" s="99"/>
      <c r="D69" s="62" t="s">
        <v>73</v>
      </c>
      <c r="E69" s="100">
        <v>8</v>
      </c>
      <c r="F69" s="62"/>
      <c r="G69" s="101"/>
      <c r="H69" s="99"/>
    </row>
    <row r="70" spans="1:9" hidden="1">
      <c r="A70" s="51" t="s">
        <v>71</v>
      </c>
      <c r="B70" s="57" t="s">
        <v>63</v>
      </c>
      <c r="C70" s="53">
        <v>15430</v>
      </c>
      <c r="D70" s="53">
        <f>D62</f>
        <v>12554.291479103984</v>
      </c>
      <c r="E70" s="53" t="s">
        <v>74</v>
      </c>
      <c r="F70" s="50"/>
      <c r="G70" s="50"/>
      <c r="H70" s="53"/>
    </row>
    <row r="71" spans="1:9" hidden="1">
      <c r="A71" s="59"/>
      <c r="B71" s="57" t="s">
        <v>65</v>
      </c>
      <c r="C71" s="53">
        <v>1072</v>
      </c>
      <c r="D71" s="53">
        <f>D63</f>
        <v>579.72970943999997</v>
      </c>
      <c r="E71" s="53" t="s">
        <v>66</v>
      </c>
      <c r="F71" s="50"/>
      <c r="G71" s="53"/>
      <c r="H71" s="53"/>
    </row>
    <row r="72" spans="1:9" hidden="1">
      <c r="A72" s="59"/>
      <c r="B72" s="57" t="s">
        <v>14</v>
      </c>
      <c r="C72" s="53">
        <v>696</v>
      </c>
      <c r="D72" s="53">
        <f>D64</f>
        <v>241.55404559999999</v>
      </c>
      <c r="E72" s="53" t="s">
        <v>67</v>
      </c>
      <c r="F72" s="50"/>
      <c r="G72" s="53"/>
      <c r="H72" s="53"/>
    </row>
    <row r="73" spans="1:9" hidden="1">
      <c r="A73" s="59"/>
      <c r="B73" s="57" t="s">
        <v>27</v>
      </c>
      <c r="C73" s="53">
        <f>C65</f>
        <v>20.063999999999997</v>
      </c>
      <c r="D73" s="53">
        <f>D65</f>
        <v>46.679939148521271</v>
      </c>
      <c r="E73" s="53" t="s">
        <v>68</v>
      </c>
      <c r="F73" s="50"/>
      <c r="G73" s="53"/>
      <c r="H73" s="53"/>
    </row>
    <row r="74" spans="1:9" hidden="1">
      <c r="A74" s="59"/>
      <c r="B74" s="57" t="s">
        <v>11</v>
      </c>
      <c r="C74" s="53">
        <v>0</v>
      </c>
      <c r="D74" s="50"/>
      <c r="E74" s="50"/>
      <c r="F74" s="50"/>
      <c r="G74" s="53"/>
      <c r="H74" s="53"/>
    </row>
    <row r="75" spans="1:9" hidden="1">
      <c r="A75" s="61"/>
      <c r="B75" s="57" t="s">
        <v>69</v>
      </c>
      <c r="C75" s="53">
        <f>C68</f>
        <v>20</v>
      </c>
      <c r="D75" s="53">
        <f>D68</f>
        <v>485.6343297782542</v>
      </c>
      <c r="E75" s="53" t="s">
        <v>70</v>
      </c>
      <c r="F75" s="50"/>
      <c r="G75" s="53" t="s">
        <v>48</v>
      </c>
      <c r="H75" s="53">
        <f>H68</f>
        <v>44</v>
      </c>
    </row>
    <row r="77" spans="1:9" ht="14.4">
      <c r="B77" s="221"/>
      <c r="C77" s="221"/>
      <c r="D77" s="221"/>
      <c r="E77" s="221"/>
      <c r="F77" s="221"/>
    </row>
  </sheetData>
  <sheetProtection selectLockedCells="1" selectUnlockedCells="1"/>
  <mergeCells count="8">
    <mergeCell ref="B77:F77"/>
    <mergeCell ref="A3:E3"/>
    <mergeCell ref="A8:H8"/>
    <mergeCell ref="K9:L9"/>
    <mergeCell ref="E10:F10"/>
    <mergeCell ref="K17:L17"/>
    <mergeCell ref="I3:K3"/>
    <mergeCell ref="D6:E6"/>
  </mergeCells>
  <pageMargins left="0.23622047244094499" right="0.23622047244094499" top="0.74803149606299202" bottom="0.74803149606299202" header="0.31496062992126" footer="0.31496062992126"/>
  <pageSetup paperSize="9" scale="73" firstPageNumber="0" orientation="portrait" r:id="rId1"/>
  <headerFooter alignWithMargins="0">
    <oddHeader>&amp;L&amp;G&amp;C&amp;"Times New Roman,Regular"&amp;11&amp;F&amp;R&amp;"Times New Roman,Regular"&amp;12Data: 04.06.2026</oddHeader>
    <oddFooter>&amp;L&amp;"Times New Roman,Regular"&amp;12Sectie  Lingouri,
Chiru Dan&amp;CIntocmit,
Racasanu Georgeta&amp;R&amp;"Times New Roman,Regular"&amp;12
pg. &amp;P
Formular Cod:PGQ 036.F8.00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5"/>
  <sheetViews>
    <sheetView topLeftCell="A164" zoomScale="90" zoomScaleNormal="90" zoomScalePageLayoutView="80" workbookViewId="0">
      <selection activeCell="H165" sqref="H165"/>
    </sheetView>
  </sheetViews>
  <sheetFormatPr defaultColWidth="10.109375" defaultRowHeight="14.85" customHeight="1"/>
  <cols>
    <col min="1" max="1" width="14.6640625" style="1" bestFit="1" customWidth="1"/>
    <col min="2" max="2" width="16.6640625" style="1" customWidth="1"/>
    <col min="3" max="3" width="17.109375" style="1" customWidth="1"/>
    <col min="4" max="4" width="15.109375" style="1" customWidth="1"/>
    <col min="5" max="5" width="14.5546875" style="1" customWidth="1"/>
    <col min="6" max="6" width="13.6640625" style="1" customWidth="1"/>
    <col min="7" max="7" width="11.88671875" style="1" customWidth="1"/>
    <col min="8" max="8" width="11" style="1" customWidth="1"/>
    <col min="9" max="9" width="11.44140625" style="1" customWidth="1"/>
    <col min="10" max="10" width="9.88671875" style="1" customWidth="1"/>
    <col min="11" max="11" width="11.6640625" style="1" customWidth="1"/>
    <col min="12" max="12" width="9.44140625" style="1" customWidth="1"/>
    <col min="13" max="16384" width="10.109375" style="1"/>
  </cols>
  <sheetData>
    <row r="1" spans="1:14" ht="14.4"/>
    <row r="2" spans="1:14" ht="14.4"/>
    <row r="3" spans="1:14" ht="18.75" customHeight="1" thickBot="1"/>
    <row r="4" spans="1:14" ht="22.5" customHeight="1" thickBot="1">
      <c r="A4" s="247" t="str">
        <f>astm</f>
        <v>Sp. QST4-A-BL543 Revision 00.</v>
      </c>
      <c r="B4" s="247"/>
      <c r="C4" s="247"/>
      <c r="D4" s="247"/>
      <c r="E4" s="247"/>
      <c r="G4" s="91" t="s">
        <v>101</v>
      </c>
      <c r="H4" s="169" t="s">
        <v>123</v>
      </c>
      <c r="I4" s="2"/>
      <c r="J4" s="3" t="s">
        <v>75</v>
      </c>
      <c r="K4" s="4">
        <v>1</v>
      </c>
    </row>
    <row r="5" spans="1:14" ht="14.4">
      <c r="A5" s="5"/>
      <c r="B5" s="5" t="s">
        <v>1</v>
      </c>
      <c r="C5" s="5" t="s">
        <v>2</v>
      </c>
      <c r="D5" s="5" t="s">
        <v>107</v>
      </c>
      <c r="E5" s="5" t="s">
        <v>3</v>
      </c>
      <c r="F5" s="5" t="s">
        <v>108</v>
      </c>
      <c r="G5" s="41" t="s">
        <v>4</v>
      </c>
      <c r="H5" s="41" t="s">
        <v>5</v>
      </c>
      <c r="I5" s="5" t="s">
        <v>6</v>
      </c>
      <c r="J5" s="5" t="s">
        <v>7</v>
      </c>
      <c r="K5" s="5" t="s">
        <v>8</v>
      </c>
      <c r="L5" s="168" t="s">
        <v>104</v>
      </c>
      <c r="M5" s="166"/>
    </row>
    <row r="6" spans="1:14" ht="14.4">
      <c r="A6" s="5"/>
      <c r="B6" s="90">
        <v>8.0000000000000004E-4</v>
      </c>
      <c r="C6" s="90">
        <v>2.5000000000000001E-3</v>
      </c>
      <c r="D6" s="90">
        <v>2.9000000000000001E-2</v>
      </c>
      <c r="E6" s="90">
        <v>3.2000000000000001E-2</v>
      </c>
      <c r="F6" s="90" t="s">
        <v>120</v>
      </c>
      <c r="G6" s="90" t="s">
        <v>121</v>
      </c>
      <c r="H6" s="90">
        <v>4.3999999999999997E-2</v>
      </c>
      <c r="I6" s="90">
        <v>4.8000000000000001E-2</v>
      </c>
      <c r="J6" s="90">
        <v>1.9E-2</v>
      </c>
      <c r="K6" s="90">
        <v>2.3E-2</v>
      </c>
      <c r="L6" s="90">
        <v>1.4999999999999999E-2</v>
      </c>
      <c r="M6" s="90">
        <v>1.7999999999999999E-2</v>
      </c>
    </row>
    <row r="7" spans="1:14" s="30" customFormat="1" ht="14.4">
      <c r="A7" s="217" t="s">
        <v>119</v>
      </c>
      <c r="B7" s="245">
        <v>1.1999999999999999E-3</v>
      </c>
      <c r="C7" s="246"/>
      <c r="D7" s="245">
        <v>3.1E-2</v>
      </c>
      <c r="E7" s="246"/>
      <c r="F7" s="218">
        <v>5.0000000000000002E-5</v>
      </c>
      <c r="G7" s="216" t="s">
        <v>122</v>
      </c>
      <c r="H7" s="245">
        <v>4.4999999999999998E-2</v>
      </c>
      <c r="I7" s="246"/>
      <c r="J7" s="245">
        <v>2.1000000000000001E-2</v>
      </c>
      <c r="K7" s="246"/>
      <c r="L7" s="245">
        <v>1.6E-2</v>
      </c>
      <c r="M7" s="246"/>
    </row>
    <row r="8" spans="1:14" ht="14.4">
      <c r="A8" s="8" t="s">
        <v>116</v>
      </c>
      <c r="B8" s="90"/>
      <c r="C8" s="215">
        <v>9.7999999999999997E-4</v>
      </c>
      <c r="D8" s="230">
        <v>3.1E-2</v>
      </c>
      <c r="E8" s="230"/>
      <c r="F8" s="7"/>
      <c r="G8" s="7"/>
      <c r="H8" s="215" t="s">
        <v>14</v>
      </c>
      <c r="I8" s="215">
        <v>4.9500000000000002E-2</v>
      </c>
      <c r="J8" s="215" t="s">
        <v>13</v>
      </c>
      <c r="K8" s="215">
        <v>2.1499999999999998E-2</v>
      </c>
      <c r="L8" s="215" t="s">
        <v>104</v>
      </c>
      <c r="M8" s="215">
        <v>1.7000000000000001E-2</v>
      </c>
    </row>
    <row r="9" spans="1:14" ht="14.4">
      <c r="A9" s="10"/>
      <c r="B9" s="10"/>
      <c r="C9" s="10"/>
      <c r="D9" s="10"/>
      <c r="E9" s="11"/>
      <c r="F9" s="11"/>
      <c r="G9" s="12"/>
      <c r="H9" s="13"/>
      <c r="I9" s="14"/>
      <c r="K9" s="15"/>
    </row>
    <row r="10" spans="1:14" ht="14.4">
      <c r="A10" s="238" t="s">
        <v>76</v>
      </c>
      <c r="B10" s="238"/>
      <c r="C10" s="164" t="s">
        <v>125</v>
      </c>
      <c r="D10" s="22">
        <f>DateIntrare!J11</f>
        <v>4173</v>
      </c>
      <c r="E10" s="16">
        <v>0.99739999999999995</v>
      </c>
      <c r="F10" s="17"/>
      <c r="H10" s="24"/>
      <c r="I10" s="244" t="s">
        <v>78</v>
      </c>
      <c r="J10" s="244"/>
      <c r="K10" s="244"/>
      <c r="L10" s="244"/>
    </row>
    <row r="11" spans="1:14" ht="14.4">
      <c r="A11" s="238" t="s">
        <v>77</v>
      </c>
      <c r="B11" s="238"/>
      <c r="C11" s="164">
        <v>355130</v>
      </c>
      <c r="D11" s="22">
        <f>DateIntrare!J44</f>
        <v>350</v>
      </c>
      <c r="E11" s="18"/>
      <c r="F11" s="15"/>
      <c r="I11" s="19" t="s">
        <v>63</v>
      </c>
      <c r="J11" s="20" t="s">
        <v>80</v>
      </c>
      <c r="K11" s="19" t="s">
        <v>14</v>
      </c>
      <c r="L11" s="21" t="s">
        <v>27</v>
      </c>
      <c r="M11" s="73" t="s">
        <v>104</v>
      </c>
      <c r="N11" s="73" t="s">
        <v>11</v>
      </c>
    </row>
    <row r="12" spans="1:14" ht="14.4">
      <c r="A12" s="238" t="s">
        <v>79</v>
      </c>
      <c r="B12" s="238"/>
      <c r="C12" s="164" t="s">
        <v>128</v>
      </c>
      <c r="D12" s="22">
        <f>DateIntrare!J56</f>
        <v>1730</v>
      </c>
      <c r="E12" s="18">
        <f>DateIntrare!I56</f>
        <v>0.99860000000000004</v>
      </c>
      <c r="F12" s="15"/>
      <c r="H12" s="92" t="s">
        <v>96</v>
      </c>
      <c r="I12" s="22">
        <f>D10</f>
        <v>4173</v>
      </c>
      <c r="J12" s="22">
        <f>D11</f>
        <v>350</v>
      </c>
      <c r="K12" s="22">
        <f>D12</f>
        <v>1730</v>
      </c>
      <c r="L12" s="22">
        <f>D14</f>
        <v>985</v>
      </c>
      <c r="M12" s="22">
        <f>D15</f>
        <v>50</v>
      </c>
      <c r="N12" s="22">
        <f>D13</f>
        <v>866.95</v>
      </c>
    </row>
    <row r="13" spans="1:14" ht="14.4">
      <c r="A13" s="238" t="s">
        <v>81</v>
      </c>
      <c r="B13" s="238"/>
      <c r="C13" s="164">
        <v>4430521</v>
      </c>
      <c r="D13" s="22">
        <f>DateIntrare!J68</f>
        <v>866.95</v>
      </c>
      <c r="E13" s="18"/>
      <c r="F13" s="15"/>
      <c r="H13" s="92" t="s">
        <v>110</v>
      </c>
      <c r="I13" s="22">
        <f>I12-B36</f>
        <v>3355.6714112085688</v>
      </c>
      <c r="J13" s="22">
        <f>J12-C36</f>
        <v>321.20243531202436</v>
      </c>
      <c r="K13" s="22">
        <f>K12-D36</f>
        <v>1696.1261534794069</v>
      </c>
      <c r="L13" s="22">
        <f>L12-E36</f>
        <v>983.48579400628159</v>
      </c>
      <c r="M13" s="22">
        <f>M12-G36</f>
        <v>34.888888888888886</v>
      </c>
      <c r="N13" s="22">
        <f>N12-F36</f>
        <v>839.55994731910994</v>
      </c>
    </row>
    <row r="14" spans="1:14" ht="14.4">
      <c r="A14" s="239" t="s">
        <v>82</v>
      </c>
      <c r="B14" s="239"/>
      <c r="C14" s="164" t="s">
        <v>144</v>
      </c>
      <c r="D14" s="22">
        <f>DateIntrare!J75</f>
        <v>985</v>
      </c>
      <c r="E14" s="18"/>
      <c r="F14" s="15"/>
      <c r="H14" s="92" t="s">
        <v>112</v>
      </c>
      <c r="I14" s="22">
        <f>I13-B36</f>
        <v>2538.3428224171375</v>
      </c>
      <c r="J14" s="22">
        <f>J13-C36</f>
        <v>292.40487062404873</v>
      </c>
      <c r="K14" s="22">
        <f>K13-D36</f>
        <v>1662.2523069588137</v>
      </c>
      <c r="L14" s="22">
        <f>L13-E36</f>
        <v>981.97158801256319</v>
      </c>
      <c r="M14" s="22">
        <f>M13-G36</f>
        <v>19.777777777777771</v>
      </c>
      <c r="N14" s="22">
        <f>N13-F36</f>
        <v>812.16989463821983</v>
      </c>
    </row>
    <row r="15" spans="1:14" ht="14.4">
      <c r="A15" s="240" t="s">
        <v>103</v>
      </c>
      <c r="B15" s="241"/>
      <c r="C15" s="164" t="s">
        <v>129</v>
      </c>
      <c r="D15" s="212">
        <f>DateIntrare!J60</f>
        <v>50</v>
      </c>
      <c r="E15" s="18">
        <v>0.99</v>
      </c>
      <c r="F15" s="15"/>
      <c r="H15" s="92" t="s">
        <v>113</v>
      </c>
      <c r="I15" s="22">
        <f>I14-B36</f>
        <v>1721.0142336257063</v>
      </c>
      <c r="J15" s="22">
        <f>J14-C36</f>
        <v>263.60730593607309</v>
      </c>
      <c r="K15" s="22">
        <f>K14-D36</f>
        <v>1628.3784604382206</v>
      </c>
      <c r="L15" s="22">
        <f>L14-E36</f>
        <v>980.45738201884478</v>
      </c>
      <c r="M15" s="22">
        <f>M14-G36</f>
        <v>4.666666666666659</v>
      </c>
      <c r="N15" s="22">
        <f>N14-F36</f>
        <v>784.77984195732972</v>
      </c>
    </row>
    <row r="16" spans="1:14" ht="14.4">
      <c r="A16" s="242"/>
      <c r="B16" s="243"/>
      <c r="C16" s="153"/>
      <c r="D16" s="22"/>
      <c r="E16" s="18"/>
      <c r="F16" s="15"/>
      <c r="I16" s="22">
        <f>I15-B36</f>
        <v>903.68564483427497</v>
      </c>
      <c r="J16" s="22">
        <f>J15-C36</f>
        <v>234.80974124809745</v>
      </c>
      <c r="K16" s="22">
        <f>K15-D36</f>
        <v>1594.5046139176275</v>
      </c>
      <c r="L16" s="22">
        <f>L15-E36</f>
        <v>978.94317602512638</v>
      </c>
      <c r="M16" s="22">
        <f>M15-G36</f>
        <v>-10.444444444444454</v>
      </c>
      <c r="N16" s="22">
        <f>N15-F36</f>
        <v>757.38978927643961</v>
      </c>
    </row>
    <row r="17" spans="1:13" ht="14.4">
      <c r="A17" s="157"/>
      <c r="B17" s="157"/>
      <c r="C17" s="158"/>
      <c r="D17" s="10"/>
      <c r="E17" s="37"/>
      <c r="F17" s="15"/>
    </row>
    <row r="18" spans="1:13" ht="14.4">
      <c r="B18" s="15"/>
      <c r="C18" s="23"/>
      <c r="E18" s="15"/>
      <c r="F18" s="15"/>
    </row>
    <row r="19" spans="1:13" ht="14.4">
      <c r="A19" s="19" t="s">
        <v>83</v>
      </c>
      <c r="B19" s="6" t="s">
        <v>76</v>
      </c>
      <c r="C19" s="6" t="s">
        <v>84</v>
      </c>
      <c r="D19" s="6" t="s">
        <v>25</v>
      </c>
      <c r="E19" s="6" t="s">
        <v>27</v>
      </c>
      <c r="F19" s="6" t="s">
        <v>26</v>
      </c>
      <c r="G19" s="6" t="s">
        <v>105</v>
      </c>
      <c r="M19" s="24"/>
    </row>
    <row r="20" spans="1:13" ht="14.4">
      <c r="A20" s="25" t="s">
        <v>85</v>
      </c>
      <c r="B20" s="9">
        <f>E10</f>
        <v>0.99739999999999995</v>
      </c>
      <c r="C20" s="9"/>
      <c r="D20" s="26"/>
      <c r="E20" s="18">
        <f>1-E23</f>
        <v>0.6</v>
      </c>
      <c r="F20" s="7"/>
      <c r="G20" s="73"/>
    </row>
    <row r="21" spans="1:13" ht="14.4">
      <c r="A21" s="25" t="s">
        <v>86</v>
      </c>
      <c r="B21" s="27"/>
      <c r="C21" s="27">
        <f>IF(C11=lotalv1,alalv1,IF(C11=lotalv2,alalv2,"ERR LOT"))</f>
        <v>0.33800000000000002</v>
      </c>
      <c r="D21" s="28">
        <f>E12</f>
        <v>0.99860000000000004</v>
      </c>
      <c r="E21" s="18"/>
      <c r="F21" s="7"/>
      <c r="G21" s="73"/>
    </row>
    <row r="22" spans="1:13" ht="14.4">
      <c r="A22" s="25" t="s">
        <v>87</v>
      </c>
      <c r="B22" s="27"/>
      <c r="C22" s="27">
        <f>IF(C11=lotalv1,valv1,IF(C11=lotalv2,valv2,"ERR LOT"))</f>
        <v>0.65700000000000003</v>
      </c>
      <c r="D22" s="28"/>
      <c r="E22" s="18"/>
      <c r="F22" s="7"/>
      <c r="G22" s="73"/>
    </row>
    <row r="23" spans="1:13" ht="14.4">
      <c r="A23" s="25" t="s">
        <v>88</v>
      </c>
      <c r="B23" s="27">
        <f>IF(C10=lotti1,oxti1,IF(C10=lotti2,oxti2,IF(C10=lotti3,oxti3,IF(C10=lotti4,oxti4,IF(C10=lotti5,oxti5,IF(C10=lotti6,oxti6,IF(C10=lotti7,oxti7,IF(C10=lotti8,oxti8,"ERR LOT"))))))))</f>
        <v>2.9999999999999997E-4</v>
      </c>
      <c r="C23" s="27">
        <f>IF(C11=lotalv1,oxalv1,IF(C11=lotalv2,oxalv2,"ERR LOT"))</f>
        <v>4.0000000000000002E-4</v>
      </c>
      <c r="D23" s="28">
        <f>IF(C12=lotal1,oxal1,IF(C12=lotal2,oxal2,"ERR LOT"))</f>
        <v>0</v>
      </c>
      <c r="E23" s="18">
        <f>IF(C14=lottio2,oxtio2,"err LOT")</f>
        <v>0.4</v>
      </c>
      <c r="F23" s="7"/>
      <c r="G23" s="73"/>
    </row>
    <row r="24" spans="1:13" ht="14.4">
      <c r="A24" s="29" t="s">
        <v>89</v>
      </c>
      <c r="B24" s="162">
        <f>IF(C10=lotti1,feti1,IF(C10=lotti2,feti2,IF(C10=lotti3,feti3,IF(C10=lotti4,feti4,IF(C10=lotti5,feti5,IF(C10=lotti6,feti6,IF(C10=lotti7,feti7,IF(C10=lotti8,feti8,"ERR LOT"))))))))</f>
        <v>1.2999999999999999E-4</v>
      </c>
      <c r="C24" s="27">
        <f>IF(C11=lotalv1,fealv1,IF(C11=lotalv2,fealv2,"ERR LOT"))</f>
        <v>2E-3</v>
      </c>
      <c r="D24" s="28">
        <f>IF(C12=lotal1,feal1,IF(C12=lotal2,feal2,"ERR LOT"))</f>
        <v>8.3000000000000001E-4</v>
      </c>
      <c r="E24" s="18"/>
      <c r="F24" s="7">
        <v>0.99</v>
      </c>
      <c r="G24" s="73"/>
    </row>
    <row r="25" spans="1:13" ht="14.4">
      <c r="A25" s="161" t="s">
        <v>106</v>
      </c>
      <c r="B25" s="7"/>
      <c r="C25" s="7"/>
      <c r="D25" s="7"/>
      <c r="E25" s="7"/>
      <c r="F25" s="7"/>
      <c r="G25" s="7">
        <f>DateIntrare!G62</f>
        <v>0.99</v>
      </c>
    </row>
    <row r="26" spans="1:13" ht="14.4">
      <c r="A26" s="32"/>
      <c r="B26" s="33"/>
      <c r="C26" s="33"/>
      <c r="D26" s="33"/>
      <c r="E26" s="37"/>
      <c r="F26" s="33"/>
    </row>
    <row r="27" spans="1:13" ht="14.4">
      <c r="A27" s="32"/>
      <c r="B27" s="33"/>
      <c r="C27" s="33"/>
      <c r="D27" s="33"/>
      <c r="E27" s="33"/>
      <c r="F27" s="33"/>
    </row>
    <row r="28" spans="1:13" ht="14.4">
      <c r="A28" s="236" t="s">
        <v>90</v>
      </c>
      <c r="B28" s="34" t="s">
        <v>63</v>
      </c>
      <c r="C28" s="34" t="s">
        <v>13</v>
      </c>
      <c r="D28" s="34" t="s">
        <v>14</v>
      </c>
      <c r="E28" s="34" t="s">
        <v>10</v>
      </c>
      <c r="F28" s="159" t="s">
        <v>11</v>
      </c>
      <c r="G28" s="73" t="s">
        <v>104</v>
      </c>
    </row>
    <row r="29" spans="1:13" ht="14.4">
      <c r="A29" s="236"/>
      <c r="B29" s="35" t="s">
        <v>91</v>
      </c>
      <c r="C29" s="36">
        <f>K8</f>
        <v>2.1499999999999998E-2</v>
      </c>
      <c r="D29" s="36">
        <f>I8</f>
        <v>4.9500000000000002E-2</v>
      </c>
      <c r="E29" s="36">
        <f>C8</f>
        <v>9.7999999999999997E-4</v>
      </c>
      <c r="F29" s="160">
        <f>D8</f>
        <v>3.1E-2</v>
      </c>
      <c r="G29" s="160">
        <f>M8</f>
        <v>1.7000000000000001E-2</v>
      </c>
    </row>
    <row r="30" spans="1:13" ht="14.4">
      <c r="H30" s="24"/>
    </row>
    <row r="31" spans="1:13" ht="14.4">
      <c r="A31" s="237" t="s">
        <v>92</v>
      </c>
      <c r="B31" s="237"/>
      <c r="C31" s="237"/>
      <c r="D31" s="237"/>
      <c r="E31" s="237"/>
      <c r="F31" s="237"/>
      <c r="G31" s="237"/>
    </row>
    <row r="32" spans="1:13" ht="14.4">
      <c r="A32" s="6" t="s">
        <v>93</v>
      </c>
      <c r="B32" s="6" t="s">
        <v>76</v>
      </c>
      <c r="C32" s="6" t="s">
        <v>84</v>
      </c>
      <c r="D32" s="6" t="s">
        <v>25</v>
      </c>
      <c r="E32" s="6" t="s">
        <v>27</v>
      </c>
      <c r="F32" s="6" t="s">
        <v>26</v>
      </c>
      <c r="G32" s="6" t="s">
        <v>105</v>
      </c>
      <c r="L32" s="10"/>
    </row>
    <row r="33" spans="1:15" ht="28.8">
      <c r="A33" s="122">
        <v>40</v>
      </c>
      <c r="B33" s="156">
        <f>A33-C33-D33</f>
        <v>37.151299490519605</v>
      </c>
      <c r="C33" s="122">
        <f>A33*C29/C22</f>
        <v>1.3089802130898018</v>
      </c>
      <c r="D33" s="122">
        <f>(A33*D29-C33*C21)/D21</f>
        <v>1.5397202963905936</v>
      </c>
      <c r="E33" s="122">
        <f>(A33*E29-B33*B23-C33*C23-D33*D23)/E23</f>
        <v>6.8827545169020496E-2</v>
      </c>
      <c r="F33" s="122">
        <f>(A33*F29-B33*B24-C33*C24)/F24</f>
        <v>1.2450023945859121</v>
      </c>
      <c r="G33" s="122">
        <f>A33*G29/G25</f>
        <v>0.68686868686868696</v>
      </c>
      <c r="J33" s="37"/>
      <c r="K33" s="37"/>
    </row>
    <row r="34" spans="1:15" ht="14.4" hidden="1">
      <c r="A34" s="38">
        <v>20</v>
      </c>
      <c r="B34" s="38">
        <f>A34-C34-D34</f>
        <v>18.576727549467275</v>
      </c>
      <c r="C34" s="38">
        <f>A34*C29/C22</f>
        <v>0.65449010654490092</v>
      </c>
      <c r="D34" s="38">
        <f>A34*D29-C34*C21</f>
        <v>0.76878234398782341</v>
      </c>
      <c r="E34" s="38">
        <f>(A34*E29-B34*B24-C34*C24-D34*D24)/E23</f>
        <v>3.8094889649923899E-2</v>
      </c>
      <c r="F34" s="38">
        <v>0</v>
      </c>
      <c r="I34" s="37"/>
      <c r="J34" s="39"/>
      <c r="K34" s="37"/>
      <c r="L34" s="37"/>
    </row>
    <row r="35" spans="1:15" ht="14.4">
      <c r="A35" s="37"/>
      <c r="B35" s="37"/>
      <c r="C35" s="37"/>
      <c r="D35" s="37"/>
      <c r="E35" s="37"/>
      <c r="F35" s="37"/>
      <c r="I35" s="37"/>
      <c r="J35" s="39"/>
      <c r="K35" s="37"/>
      <c r="L35" s="37"/>
    </row>
    <row r="36" spans="1:15" ht="14.4">
      <c r="A36" s="22">
        <f>A33*J36</f>
        <v>880</v>
      </c>
      <c r="B36" s="22">
        <f>B33*J36</f>
        <v>817.32858879143134</v>
      </c>
      <c r="C36" s="22">
        <f>C33*J36</f>
        <v>28.79756468797564</v>
      </c>
      <c r="D36" s="22">
        <f>D33*J36</f>
        <v>33.873846520593062</v>
      </c>
      <c r="E36" s="40">
        <f>E33*J36</f>
        <v>1.5142059937184509</v>
      </c>
      <c r="F36" s="40">
        <f>F33*J36</f>
        <v>27.390052680890065</v>
      </c>
      <c r="G36" s="40">
        <f>G33*J36</f>
        <v>15.111111111111112</v>
      </c>
      <c r="I36" s="12" t="s">
        <v>94</v>
      </c>
      <c r="J36" s="93">
        <v>22</v>
      </c>
      <c r="K36" s="15"/>
      <c r="L36" s="39"/>
    </row>
    <row r="37" spans="1:15" ht="14.4"/>
    <row r="40" spans="1:15" ht="14.85" customHeight="1" thickBot="1"/>
    <row r="41" spans="1:15" ht="14.85" customHeight="1" thickBot="1">
      <c r="A41" s="247" t="str">
        <f>astm</f>
        <v>Sp. QST4-A-BL543 Revision 00.</v>
      </c>
      <c r="B41" s="247"/>
      <c r="C41" s="247"/>
      <c r="D41" s="247"/>
      <c r="E41" s="247"/>
      <c r="G41" s="91" t="s">
        <v>101</v>
      </c>
      <c r="H41" s="169" t="s">
        <v>123</v>
      </c>
      <c r="I41" s="2"/>
      <c r="J41" s="3" t="s">
        <v>75</v>
      </c>
      <c r="K41" s="4">
        <v>2</v>
      </c>
    </row>
    <row r="42" spans="1:15" ht="14.85" customHeight="1">
      <c r="A42" s="5"/>
      <c r="B42" s="5" t="s">
        <v>1</v>
      </c>
      <c r="C42" s="5" t="s">
        <v>2</v>
      </c>
      <c r="D42" s="5" t="s">
        <v>107</v>
      </c>
      <c r="E42" s="5" t="s">
        <v>3</v>
      </c>
      <c r="F42" s="5" t="s">
        <v>108</v>
      </c>
      <c r="G42" s="41" t="s">
        <v>4</v>
      </c>
      <c r="H42" s="41" t="s">
        <v>5</v>
      </c>
      <c r="I42" s="5" t="s">
        <v>6</v>
      </c>
      <c r="J42" s="5" t="s">
        <v>7</v>
      </c>
      <c r="K42" s="5" t="s">
        <v>8</v>
      </c>
      <c r="L42" s="168" t="s">
        <v>104</v>
      </c>
      <c r="M42" s="166"/>
    </row>
    <row r="43" spans="1:15" ht="14.85" customHeight="1">
      <c r="A43" s="5"/>
      <c r="B43" s="90">
        <v>8.0000000000000004E-4</v>
      </c>
      <c r="C43" s="90">
        <v>2.5000000000000001E-3</v>
      </c>
      <c r="D43" s="90">
        <v>2.9000000000000001E-2</v>
      </c>
      <c r="E43" s="90">
        <v>3.2000000000000001E-2</v>
      </c>
      <c r="F43" s="90" t="s">
        <v>120</v>
      </c>
      <c r="G43" s="90" t="s">
        <v>121</v>
      </c>
      <c r="H43" s="90">
        <v>4.3999999999999997E-2</v>
      </c>
      <c r="I43" s="90">
        <v>4.8000000000000001E-2</v>
      </c>
      <c r="J43" s="90">
        <v>1.9E-2</v>
      </c>
      <c r="K43" s="90">
        <v>2.3E-2</v>
      </c>
      <c r="L43" s="90">
        <v>1.4999999999999999E-2</v>
      </c>
      <c r="M43" s="90">
        <v>1.7999999999999999E-2</v>
      </c>
    </row>
    <row r="44" spans="1:15" ht="14.85" customHeight="1">
      <c r="A44" s="217" t="s">
        <v>119</v>
      </c>
      <c r="B44" s="245">
        <v>1.1999999999999999E-3</v>
      </c>
      <c r="C44" s="246"/>
      <c r="D44" s="245">
        <v>3.1E-2</v>
      </c>
      <c r="E44" s="246"/>
      <c r="F44" s="218">
        <v>5.0000000000000002E-5</v>
      </c>
      <c r="G44" s="216" t="s">
        <v>122</v>
      </c>
      <c r="H44" s="245">
        <v>4.4999999999999998E-2</v>
      </c>
      <c r="I44" s="246"/>
      <c r="J44" s="245">
        <v>2.1000000000000001E-2</v>
      </c>
      <c r="K44" s="246"/>
      <c r="L44" s="245">
        <v>1.6E-2</v>
      </c>
      <c r="M44" s="246"/>
      <c r="N44" s="30"/>
      <c r="O44" s="30"/>
    </row>
    <row r="45" spans="1:15" ht="14.4">
      <c r="A45" s="8" t="s">
        <v>116</v>
      </c>
      <c r="B45" s="90"/>
      <c r="C45" s="215">
        <v>9.7999999999999997E-4</v>
      </c>
      <c r="D45" s="230">
        <v>3.1E-2</v>
      </c>
      <c r="E45" s="230"/>
      <c r="F45" s="7"/>
      <c r="G45" s="7"/>
      <c r="H45" s="215" t="s">
        <v>14</v>
      </c>
      <c r="I45" s="215">
        <v>4.9500000000000002E-2</v>
      </c>
      <c r="J45" s="215" t="s">
        <v>13</v>
      </c>
      <c r="K45" s="215">
        <v>2.1499999999999998E-2</v>
      </c>
      <c r="L45" s="215" t="s">
        <v>104</v>
      </c>
      <c r="M45" s="215">
        <v>1.7000000000000001E-2</v>
      </c>
    </row>
    <row r="46" spans="1:15" ht="14.85" customHeight="1">
      <c r="A46" s="10"/>
      <c r="B46" s="10"/>
      <c r="C46" s="10"/>
      <c r="D46" s="10"/>
      <c r="E46" s="11"/>
      <c r="F46" s="11"/>
      <c r="G46" s="12"/>
      <c r="H46" s="13"/>
      <c r="I46" s="14"/>
      <c r="K46" s="15"/>
    </row>
    <row r="47" spans="1:15" ht="14.85" customHeight="1">
      <c r="A47" s="238" t="s">
        <v>76</v>
      </c>
      <c r="B47" s="238"/>
      <c r="C47" s="164" t="s">
        <v>125</v>
      </c>
      <c r="D47" s="22">
        <f>I15</f>
        <v>1721.0142336257063</v>
      </c>
      <c r="E47" s="16">
        <v>0.99739999999999995</v>
      </c>
      <c r="F47" s="17"/>
      <c r="H47" s="24"/>
      <c r="I47" s="244" t="s">
        <v>78</v>
      </c>
      <c r="J47" s="244"/>
      <c r="K47" s="244"/>
      <c r="L47" s="244"/>
    </row>
    <row r="48" spans="1:15" ht="14.85" customHeight="1">
      <c r="A48" s="238" t="s">
        <v>77</v>
      </c>
      <c r="B48" s="238"/>
      <c r="C48" s="164">
        <v>355130</v>
      </c>
      <c r="D48" s="22">
        <f>J15</f>
        <v>263.60730593607309</v>
      </c>
      <c r="E48" s="18"/>
      <c r="F48" s="15"/>
      <c r="I48" s="19" t="s">
        <v>63</v>
      </c>
      <c r="J48" s="20" t="s">
        <v>80</v>
      </c>
      <c r="K48" s="19" t="s">
        <v>14</v>
      </c>
      <c r="L48" s="21" t="s">
        <v>27</v>
      </c>
      <c r="M48" s="73" t="s">
        <v>104</v>
      </c>
      <c r="N48" s="73" t="s">
        <v>11</v>
      </c>
    </row>
    <row r="49" spans="1:14" ht="14.85" customHeight="1">
      <c r="A49" s="238" t="s">
        <v>79</v>
      </c>
      <c r="B49" s="238"/>
      <c r="C49" s="164" t="s">
        <v>128</v>
      </c>
      <c r="D49" s="22">
        <f>K15</f>
        <v>1628.3784604382206</v>
      </c>
      <c r="E49" s="18">
        <v>0.99860000000000004</v>
      </c>
      <c r="F49" s="15"/>
      <c r="H49" s="92" t="s">
        <v>113</v>
      </c>
      <c r="I49" s="22">
        <f>D47</f>
        <v>1721.0142336257063</v>
      </c>
      <c r="J49" s="22">
        <f>D48</f>
        <v>263.60730593607309</v>
      </c>
      <c r="K49" s="22">
        <f>D49</f>
        <v>1628.3784604382206</v>
      </c>
      <c r="L49" s="22">
        <f>D51</f>
        <v>980.45738201884478</v>
      </c>
      <c r="M49" s="22">
        <f>D52+M15</f>
        <v>258.66666666666669</v>
      </c>
      <c r="N49" s="22">
        <f>D50</f>
        <v>784.77984195732972</v>
      </c>
    </row>
    <row r="50" spans="1:14" ht="14.85" customHeight="1">
      <c r="A50" s="238" t="s">
        <v>81</v>
      </c>
      <c r="B50" s="238"/>
      <c r="C50" s="164">
        <v>4430521</v>
      </c>
      <c r="D50" s="22">
        <f>N15</f>
        <v>784.77984195732972</v>
      </c>
      <c r="E50" s="18"/>
      <c r="F50" s="15"/>
      <c r="H50" s="92" t="s">
        <v>130</v>
      </c>
      <c r="I50" s="22">
        <f>I49-B73</f>
        <v>903.68564483427497</v>
      </c>
      <c r="J50" s="22">
        <f>J49-C73</f>
        <v>234.80974124809745</v>
      </c>
      <c r="K50" s="22">
        <f>K49-D73</f>
        <v>1594.5046139176275</v>
      </c>
      <c r="L50" s="22">
        <f>L49-E73</f>
        <v>978.94317602512638</v>
      </c>
      <c r="M50" s="22">
        <f>M49-G73</f>
        <v>243.55555555555557</v>
      </c>
      <c r="N50" s="22">
        <f>N49-F73</f>
        <v>757.38978927643961</v>
      </c>
    </row>
    <row r="51" spans="1:14" ht="14.85" customHeight="1">
      <c r="A51" s="239" t="s">
        <v>82</v>
      </c>
      <c r="B51" s="239"/>
      <c r="C51" s="164" t="s">
        <v>144</v>
      </c>
      <c r="D51" s="22">
        <f>L15</f>
        <v>980.45738201884478</v>
      </c>
      <c r="E51" s="18"/>
      <c r="F51" s="15"/>
      <c r="H51" s="92" t="s">
        <v>131</v>
      </c>
      <c r="I51" s="22">
        <f>I50-B73</f>
        <v>86.357056042843624</v>
      </c>
      <c r="J51" s="22">
        <f>J50-C73</f>
        <v>206.01217656012182</v>
      </c>
      <c r="K51" s="22">
        <f>K50-D73</f>
        <v>1560.6307673970343</v>
      </c>
      <c r="L51" s="22">
        <f>L50-E73</f>
        <v>977.42897003140797</v>
      </c>
      <c r="M51" s="22">
        <f>M50-G73</f>
        <v>228.44444444444446</v>
      </c>
      <c r="N51" s="22">
        <f>N50-F73</f>
        <v>729.99973659554951</v>
      </c>
    </row>
    <row r="52" spans="1:14" ht="14.85" customHeight="1">
      <c r="A52" s="240" t="s">
        <v>103</v>
      </c>
      <c r="B52" s="241"/>
      <c r="C52" s="155" t="s">
        <v>142</v>
      </c>
      <c r="D52" s="212">
        <f>DateIntrare!J64</f>
        <v>254</v>
      </c>
      <c r="E52" s="18">
        <v>0.99</v>
      </c>
      <c r="F52" s="15"/>
      <c r="I52" s="22">
        <f>I51-B73</f>
        <v>-730.97153274858772</v>
      </c>
      <c r="J52" s="22">
        <f>J51-C73</f>
        <v>177.21461187214618</v>
      </c>
      <c r="K52" s="22">
        <f>K51-D73</f>
        <v>1526.7569208764412</v>
      </c>
      <c r="L52" s="22">
        <f>L51-E73</f>
        <v>975.91476403768957</v>
      </c>
      <c r="M52" s="22">
        <f>M51-G73</f>
        <v>213.33333333333334</v>
      </c>
      <c r="N52" s="22">
        <f>N51-F73</f>
        <v>702.6096839146594</v>
      </c>
    </row>
    <row r="53" spans="1:14" ht="14.85" customHeight="1">
      <c r="A53" s="242"/>
      <c r="B53" s="243"/>
      <c r="C53" s="153"/>
      <c r="D53" s="22"/>
      <c r="E53" s="18"/>
      <c r="F53" s="15"/>
      <c r="H53" s="24"/>
      <c r="I53" s="24"/>
      <c r="J53" s="24"/>
      <c r="K53" s="24"/>
      <c r="L53" s="24"/>
      <c r="M53" s="24"/>
      <c r="N53" s="24"/>
    </row>
    <row r="54" spans="1:14" ht="14.85" customHeight="1">
      <c r="A54" s="157"/>
      <c r="B54" s="157"/>
      <c r="C54" s="158"/>
      <c r="D54" s="10"/>
      <c r="E54" s="37"/>
      <c r="F54" s="15"/>
    </row>
    <row r="55" spans="1:14" ht="14.85" customHeight="1">
      <c r="B55" s="15"/>
      <c r="C55" s="23"/>
      <c r="E55" s="15"/>
      <c r="F55" s="15"/>
    </row>
    <row r="56" spans="1:14" ht="14.85" customHeight="1">
      <c r="A56" s="19" t="s">
        <v>83</v>
      </c>
      <c r="B56" s="6" t="s">
        <v>76</v>
      </c>
      <c r="C56" s="6" t="s">
        <v>84</v>
      </c>
      <c r="D56" s="6" t="s">
        <v>25</v>
      </c>
      <c r="E56" s="6" t="s">
        <v>27</v>
      </c>
      <c r="F56" s="6" t="s">
        <v>26</v>
      </c>
      <c r="G56" s="6" t="s">
        <v>105</v>
      </c>
      <c r="M56" s="24"/>
    </row>
    <row r="57" spans="1:14" ht="14.85" customHeight="1">
      <c r="A57" s="25" t="s">
        <v>85</v>
      </c>
      <c r="B57" s="9">
        <f>E47</f>
        <v>0.99739999999999995</v>
      </c>
      <c r="C57" s="9"/>
      <c r="D57" s="26"/>
      <c r="E57" s="18">
        <f>1-E60</f>
        <v>0.6</v>
      </c>
      <c r="F57" s="7"/>
      <c r="G57" s="73"/>
    </row>
    <row r="58" spans="1:14" ht="14.85" customHeight="1">
      <c r="A58" s="25" t="s">
        <v>86</v>
      </c>
      <c r="B58" s="27"/>
      <c r="C58" s="27">
        <f>IF(C48=lotalv1,alalv1,IF(C48=lotalv2,alalv2,"ERR LOT"))</f>
        <v>0.33800000000000002</v>
      </c>
      <c r="D58" s="28">
        <f>E49</f>
        <v>0.99860000000000004</v>
      </c>
      <c r="E58" s="18"/>
      <c r="F58" s="7"/>
      <c r="G58" s="73"/>
    </row>
    <row r="59" spans="1:14" ht="14.85" customHeight="1">
      <c r="A59" s="25" t="s">
        <v>87</v>
      </c>
      <c r="B59" s="27"/>
      <c r="C59" s="27">
        <f>IF(C48=lotalv1,valv1,IF(C48=lotalv2,valv2,"ERR LOT"))</f>
        <v>0.65700000000000003</v>
      </c>
      <c r="D59" s="28"/>
      <c r="E59" s="18"/>
      <c r="F59" s="7"/>
      <c r="G59" s="73"/>
    </row>
    <row r="60" spans="1:14" ht="14.85" customHeight="1">
      <c r="A60" s="25" t="s">
        <v>88</v>
      </c>
      <c r="B60" s="27">
        <f>IF(C47=lotti1,oxti1,IF(C47=lotti2,oxti2,IF(C47=lotti3,oxti3,IF(C47=lotti4,oxti4,IF(C47=lotti5,oxti5,IF(C47=lotti6,oxti6,IF(C47=lotti7,oxti7,IF(C47=lotti8,oxti8,"ERR LOT"))))))))</f>
        <v>2.9999999999999997E-4</v>
      </c>
      <c r="C60" s="27">
        <f>IF(C48=lotalv1,oxalv1,IF(C48=lotalv2,oxalv2,"ERR LOT"))</f>
        <v>4.0000000000000002E-4</v>
      </c>
      <c r="D60" s="28">
        <f>IF(C49=lotal1,oxal1,IF(C49=lotal2,oxal2,"ERR LOT"))</f>
        <v>0</v>
      </c>
      <c r="E60" s="18">
        <f>IF(C51=lottio2,oxtio2,"err LOT")</f>
        <v>0.4</v>
      </c>
      <c r="F60" s="7"/>
      <c r="G60" s="73"/>
    </row>
    <row r="61" spans="1:14" ht="14.85" customHeight="1">
      <c r="A61" s="29" t="s">
        <v>89</v>
      </c>
      <c r="B61" s="162">
        <f>IF(C47=lotti1,feti1,IF(C47=lotti2,feti2,IF(C47=lotti3,feti3,IF(C47=lotti4,feti4,IF(C47=lotti5,feti5,IF(C47=lotti6,feti6,IF(C47=lotti7,feti7,IF(C47=lotti8,feti8,"ERR LOT"))))))))</f>
        <v>1.2999999999999999E-4</v>
      </c>
      <c r="C61" s="27">
        <f>IF(C48=lotalv1,fealv1,IF(C48=lotalv2,fealv2,"ERR LOT"))</f>
        <v>2E-3</v>
      </c>
      <c r="D61" s="28">
        <f>IF(C49=lotal1,feal1,IF(C49=lotal2,feal2,"ERR LOT"))</f>
        <v>8.3000000000000001E-4</v>
      </c>
      <c r="E61" s="18"/>
      <c r="F61" s="7">
        <v>0.99</v>
      </c>
      <c r="G61" s="73"/>
    </row>
    <row r="62" spans="1:14" ht="14.85" customHeight="1">
      <c r="A62" s="161" t="s">
        <v>106</v>
      </c>
      <c r="B62" s="7"/>
      <c r="C62" s="7"/>
      <c r="D62" s="7"/>
      <c r="E62" s="7"/>
      <c r="F62" s="7"/>
      <c r="G62" s="7">
        <f>DateIntrare!G66</f>
        <v>0.99</v>
      </c>
    </row>
    <row r="63" spans="1:14" ht="14.85" customHeight="1">
      <c r="A63" s="32"/>
      <c r="B63" s="33"/>
      <c r="C63" s="33"/>
      <c r="D63" s="33"/>
      <c r="E63" s="37"/>
      <c r="F63" s="33"/>
    </row>
    <row r="64" spans="1:14" ht="14.85" customHeight="1">
      <c r="A64" s="32"/>
      <c r="B64" s="33"/>
      <c r="C64" s="33"/>
      <c r="D64" s="33"/>
      <c r="E64" s="33"/>
      <c r="F64" s="33"/>
      <c r="I64" s="30"/>
      <c r="J64" s="30"/>
      <c r="K64" s="30"/>
      <c r="L64" s="30"/>
      <c r="M64" s="30"/>
    </row>
    <row r="65" spans="1:13" ht="14.85" customHeight="1">
      <c r="A65" s="236" t="s">
        <v>90</v>
      </c>
      <c r="B65" s="34" t="s">
        <v>63</v>
      </c>
      <c r="C65" s="34" t="s">
        <v>13</v>
      </c>
      <c r="D65" s="34" t="s">
        <v>14</v>
      </c>
      <c r="E65" s="34" t="s">
        <v>10</v>
      </c>
      <c r="F65" s="159" t="s">
        <v>11</v>
      </c>
      <c r="G65" s="73" t="s">
        <v>104</v>
      </c>
      <c r="J65" s="30"/>
      <c r="M65" s="10"/>
    </row>
    <row r="66" spans="1:13" ht="14.85" customHeight="1">
      <c r="A66" s="236"/>
      <c r="B66" s="35" t="s">
        <v>91</v>
      </c>
      <c r="C66" s="36">
        <f>K45</f>
        <v>2.1499999999999998E-2</v>
      </c>
      <c r="D66" s="36">
        <f>I45</f>
        <v>4.9500000000000002E-2</v>
      </c>
      <c r="E66" s="36">
        <f>C45</f>
        <v>9.7999999999999997E-4</v>
      </c>
      <c r="F66" s="160">
        <f>D45</f>
        <v>3.1E-2</v>
      </c>
      <c r="G66" s="160">
        <f>M45</f>
        <v>1.7000000000000001E-2</v>
      </c>
    </row>
    <row r="67" spans="1:13" ht="14.85" customHeight="1">
      <c r="H67" s="24"/>
    </row>
    <row r="68" spans="1:13" ht="14.85" customHeight="1">
      <c r="A68" s="237" t="s">
        <v>92</v>
      </c>
      <c r="B68" s="237"/>
      <c r="C68" s="237"/>
      <c r="D68" s="237"/>
      <c r="E68" s="237"/>
      <c r="F68" s="237"/>
      <c r="G68" s="237"/>
    </row>
    <row r="69" spans="1:13" ht="14.85" customHeight="1">
      <c r="A69" s="6" t="s">
        <v>93</v>
      </c>
      <c r="B69" s="6" t="s">
        <v>76</v>
      </c>
      <c r="C69" s="6" t="s">
        <v>84</v>
      </c>
      <c r="D69" s="6" t="s">
        <v>25</v>
      </c>
      <c r="E69" s="6" t="s">
        <v>27</v>
      </c>
      <c r="F69" s="6" t="s">
        <v>26</v>
      </c>
      <c r="G69" s="6" t="s">
        <v>105</v>
      </c>
      <c r="L69" s="10"/>
    </row>
    <row r="70" spans="1:13" ht="29.4" customHeight="1">
      <c r="A70" s="122">
        <v>40</v>
      </c>
      <c r="B70" s="156">
        <f>A70-C70-D70</f>
        <v>37.151299490519605</v>
      </c>
      <c r="C70" s="122">
        <f>A70*C66/C59</f>
        <v>1.3089802130898018</v>
      </c>
      <c r="D70" s="122">
        <f>(A70*D66-C70*C58)/D58</f>
        <v>1.5397202963905936</v>
      </c>
      <c r="E70" s="122">
        <f>(A70*E66-B70*B60-C70*C60-D70*D60)/E60</f>
        <v>6.8827545169020496E-2</v>
      </c>
      <c r="F70" s="122">
        <f>(A70*F66-B70*B61-C70*C61)/F61</f>
        <v>1.2450023945859121</v>
      </c>
      <c r="G70" s="122">
        <f>A70*G66/G62</f>
        <v>0.68686868686868696</v>
      </c>
      <c r="J70" s="37"/>
      <c r="K70" s="37"/>
    </row>
    <row r="71" spans="1:13" ht="14.85" hidden="1" customHeight="1">
      <c r="A71" s="38">
        <v>20</v>
      </c>
      <c r="B71" s="38">
        <f>A71-C71-D71</f>
        <v>18.576727549467275</v>
      </c>
      <c r="C71" s="38">
        <f>A71*C66/C59</f>
        <v>0.65449010654490092</v>
      </c>
      <c r="D71" s="38">
        <f>A71*D66-C71*C58</f>
        <v>0.76878234398782341</v>
      </c>
      <c r="E71" s="38">
        <f>(A71*E66-B71*B61-C71*C61-D71*D61)/E60</f>
        <v>3.8094889649923899E-2</v>
      </c>
      <c r="F71" s="38">
        <v>0</v>
      </c>
      <c r="I71" s="37"/>
      <c r="J71" s="39"/>
      <c r="K71" s="37"/>
      <c r="L71" s="37"/>
    </row>
    <row r="72" spans="1:13" ht="14.85" customHeight="1">
      <c r="A72" s="37"/>
      <c r="B72" s="37"/>
      <c r="C72" s="37"/>
      <c r="D72" s="37"/>
      <c r="E72" s="37"/>
      <c r="F72" s="37"/>
      <c r="I72" s="37"/>
      <c r="J72" s="39"/>
      <c r="K72" s="37"/>
      <c r="L72" s="37"/>
    </row>
    <row r="73" spans="1:13" ht="14.85" customHeight="1">
      <c r="A73" s="22">
        <f>A70*J73</f>
        <v>880</v>
      </c>
      <c r="B73" s="22">
        <f>B70*J73</f>
        <v>817.32858879143134</v>
      </c>
      <c r="C73" s="22">
        <f>C70*J73</f>
        <v>28.79756468797564</v>
      </c>
      <c r="D73" s="22">
        <f>D70*J73</f>
        <v>33.873846520593062</v>
      </c>
      <c r="E73" s="40">
        <f>E70*J73</f>
        <v>1.5142059937184509</v>
      </c>
      <c r="F73" s="40">
        <f>F70*J73</f>
        <v>27.390052680890065</v>
      </c>
      <c r="G73" s="40">
        <f>G70*J73</f>
        <v>15.111111111111112</v>
      </c>
      <c r="I73" s="12" t="s">
        <v>94</v>
      </c>
      <c r="J73" s="93">
        <v>22</v>
      </c>
      <c r="K73" s="15"/>
      <c r="L73" s="39"/>
    </row>
    <row r="77" spans="1:13" ht="14.85" customHeight="1" thickBot="1"/>
    <row r="78" spans="1:13" ht="14.85" customHeight="1" thickBot="1">
      <c r="A78" s="247" t="str">
        <f>astm</f>
        <v>Sp. QST4-A-BL543 Revision 00.</v>
      </c>
      <c r="B78" s="247"/>
      <c r="C78" s="247"/>
      <c r="D78" s="247"/>
      <c r="E78" s="247"/>
      <c r="G78" s="91" t="s">
        <v>101</v>
      </c>
      <c r="H78" s="169" t="s">
        <v>123</v>
      </c>
      <c r="I78" s="2"/>
      <c r="J78" s="3" t="s">
        <v>75</v>
      </c>
      <c r="K78" s="4">
        <v>3</v>
      </c>
    </row>
    <row r="79" spans="1:13" ht="14.85" customHeight="1">
      <c r="A79" s="5"/>
      <c r="B79" s="5" t="s">
        <v>1</v>
      </c>
      <c r="C79" s="5" t="s">
        <v>2</v>
      </c>
      <c r="D79" s="5" t="s">
        <v>107</v>
      </c>
      <c r="E79" s="5" t="s">
        <v>3</v>
      </c>
      <c r="F79" s="5" t="s">
        <v>108</v>
      </c>
      <c r="G79" s="41" t="s">
        <v>4</v>
      </c>
      <c r="H79" s="41" t="s">
        <v>5</v>
      </c>
      <c r="I79" s="5" t="s">
        <v>6</v>
      </c>
      <c r="J79" s="5" t="s">
        <v>7</v>
      </c>
      <c r="K79" s="5" t="s">
        <v>8</v>
      </c>
      <c r="L79" s="168" t="s">
        <v>104</v>
      </c>
      <c r="M79" s="166"/>
    </row>
    <row r="80" spans="1:13" ht="14.85" customHeight="1">
      <c r="A80" s="5"/>
      <c r="B80" s="90">
        <v>8.0000000000000004E-4</v>
      </c>
      <c r="C80" s="90">
        <v>2.5000000000000001E-3</v>
      </c>
      <c r="D80" s="90">
        <v>2.9000000000000001E-2</v>
      </c>
      <c r="E80" s="90">
        <v>3.2000000000000001E-2</v>
      </c>
      <c r="F80" s="90" t="s">
        <v>120</v>
      </c>
      <c r="G80" s="90" t="s">
        <v>121</v>
      </c>
      <c r="H80" s="90">
        <v>4.3999999999999997E-2</v>
      </c>
      <c r="I80" s="90">
        <v>4.8000000000000001E-2</v>
      </c>
      <c r="J80" s="90">
        <v>1.9E-2</v>
      </c>
      <c r="K80" s="90">
        <v>2.3E-2</v>
      </c>
      <c r="L80" s="90">
        <v>1.4999999999999999E-2</v>
      </c>
      <c r="M80" s="90">
        <v>1.7999999999999999E-2</v>
      </c>
    </row>
    <row r="81" spans="1:14" ht="14.85" customHeight="1">
      <c r="A81" s="217" t="s">
        <v>119</v>
      </c>
      <c r="B81" s="245">
        <v>1.1999999999999999E-3</v>
      </c>
      <c r="C81" s="246"/>
      <c r="D81" s="245">
        <v>3.1E-2</v>
      </c>
      <c r="E81" s="246"/>
      <c r="F81" s="218">
        <v>5.0000000000000002E-5</v>
      </c>
      <c r="G81" s="216" t="s">
        <v>122</v>
      </c>
      <c r="H81" s="245">
        <v>4.4999999999999998E-2</v>
      </c>
      <c r="I81" s="246"/>
      <c r="J81" s="245">
        <v>2.1000000000000001E-2</v>
      </c>
      <c r="K81" s="246"/>
      <c r="L81" s="245">
        <v>1.6E-2</v>
      </c>
      <c r="M81" s="246"/>
      <c r="N81" s="30"/>
    </row>
    <row r="82" spans="1:14" ht="14.4">
      <c r="A82" s="8" t="s">
        <v>116</v>
      </c>
      <c r="B82" s="90"/>
      <c r="C82" s="215">
        <v>9.7999999999999997E-4</v>
      </c>
      <c r="D82" s="230">
        <v>3.1E-2</v>
      </c>
      <c r="E82" s="230"/>
      <c r="F82" s="7"/>
      <c r="G82" s="7"/>
      <c r="H82" s="215" t="s">
        <v>14</v>
      </c>
      <c r="I82" s="215">
        <v>4.9500000000000002E-2</v>
      </c>
      <c r="J82" s="215" t="s">
        <v>13</v>
      </c>
      <c r="K82" s="215">
        <v>2.1499999999999998E-2</v>
      </c>
      <c r="L82" s="215" t="s">
        <v>104</v>
      </c>
      <c r="M82" s="215">
        <v>1.7000000000000001E-2</v>
      </c>
    </row>
    <row r="83" spans="1:14" ht="14.85" customHeight="1">
      <c r="A83" s="10"/>
      <c r="B83" s="10"/>
      <c r="C83" s="10"/>
      <c r="D83" s="10"/>
      <c r="E83" s="11"/>
      <c r="F83" s="11"/>
      <c r="G83" s="12"/>
      <c r="H83" s="13"/>
      <c r="I83" s="14"/>
      <c r="K83" s="15"/>
    </row>
    <row r="84" spans="1:14" ht="14.85" customHeight="1">
      <c r="A84" s="238" t="s">
        <v>76</v>
      </c>
      <c r="B84" s="238"/>
      <c r="C84" s="163" t="s">
        <v>126</v>
      </c>
      <c r="D84" s="22">
        <f>DateIntrare!J15</f>
        <v>8000</v>
      </c>
      <c r="E84" s="16">
        <v>0.99739999999999995</v>
      </c>
      <c r="F84" s="17"/>
      <c r="H84" s="24"/>
      <c r="I84" s="14" t="s">
        <v>78</v>
      </c>
      <c r="J84" s="14"/>
      <c r="K84" s="14"/>
      <c r="L84" s="14"/>
    </row>
    <row r="85" spans="1:14" ht="14.85" customHeight="1">
      <c r="A85" s="238" t="s">
        <v>77</v>
      </c>
      <c r="B85" s="238"/>
      <c r="C85" s="164">
        <v>355130</v>
      </c>
      <c r="D85" s="22">
        <f>J51</f>
        <v>206.01217656012182</v>
      </c>
      <c r="E85" s="18"/>
      <c r="F85" s="15"/>
      <c r="I85" s="19" t="s">
        <v>63</v>
      </c>
      <c r="J85" s="20" t="s">
        <v>80</v>
      </c>
      <c r="K85" s="19" t="s">
        <v>14</v>
      </c>
      <c r="L85" s="21" t="s">
        <v>27</v>
      </c>
      <c r="M85" s="73" t="s">
        <v>104</v>
      </c>
      <c r="N85" s="73" t="s">
        <v>11</v>
      </c>
    </row>
    <row r="86" spans="1:14" ht="14.85" customHeight="1">
      <c r="A86" s="238" t="s">
        <v>79</v>
      </c>
      <c r="B86" s="238"/>
      <c r="C86" s="164" t="s">
        <v>128</v>
      </c>
      <c r="D86" s="22">
        <f>K51</f>
        <v>1560.6307673970343</v>
      </c>
      <c r="E86" s="18">
        <v>0.99860000000000004</v>
      </c>
      <c r="F86" s="15"/>
      <c r="H86" s="92" t="s">
        <v>131</v>
      </c>
      <c r="I86" s="22">
        <f>D84+I51</f>
        <v>8086.3570560428434</v>
      </c>
      <c r="J86" s="22">
        <f>D85</f>
        <v>206.01217656012182</v>
      </c>
      <c r="K86" s="22">
        <f>D86</f>
        <v>1560.6307673970343</v>
      </c>
      <c r="L86" s="22">
        <f>D88</f>
        <v>977.42897003140797</v>
      </c>
      <c r="M86" s="22">
        <f>D89</f>
        <v>228.44444444444446</v>
      </c>
      <c r="N86" s="22">
        <f>D87</f>
        <v>729.99973659554951</v>
      </c>
    </row>
    <row r="87" spans="1:14" ht="14.85" customHeight="1">
      <c r="A87" s="238" t="s">
        <v>81</v>
      </c>
      <c r="B87" s="238"/>
      <c r="C87" s="164">
        <v>4430521</v>
      </c>
      <c r="D87" s="22">
        <f>N51</f>
        <v>729.99973659554951</v>
      </c>
      <c r="E87" s="18"/>
      <c r="F87" s="15"/>
      <c r="H87" s="92" t="s">
        <v>132</v>
      </c>
      <c r="I87" s="22">
        <f>I86-B110</f>
        <v>7269.0284672514117</v>
      </c>
      <c r="J87" s="22">
        <f>J86-C110</f>
        <v>177.21461187214618</v>
      </c>
      <c r="K87" s="22">
        <f>K86-D110</f>
        <v>1526.7569208764412</v>
      </c>
      <c r="L87" s="22">
        <f>L86-E110</f>
        <v>975.87389760824999</v>
      </c>
      <c r="M87" s="22">
        <f>M86-G110</f>
        <v>213.33333333333334</v>
      </c>
      <c r="N87" s="22">
        <f>N86-F110</f>
        <v>702.53538131567836</v>
      </c>
    </row>
    <row r="88" spans="1:14" ht="14.85" customHeight="1">
      <c r="A88" s="239" t="s">
        <v>82</v>
      </c>
      <c r="B88" s="239"/>
      <c r="C88" s="164" t="s">
        <v>144</v>
      </c>
      <c r="D88" s="22">
        <f>L51</f>
        <v>977.42897003140797</v>
      </c>
      <c r="E88" s="18"/>
      <c r="F88" s="15"/>
      <c r="H88" s="92" t="s">
        <v>133</v>
      </c>
      <c r="I88" s="22">
        <f>I87-B110</f>
        <v>6451.69987845998</v>
      </c>
      <c r="J88" s="22">
        <f>J87-C110</f>
        <v>148.41704718417054</v>
      </c>
      <c r="K88" s="22">
        <f>K87-D110</f>
        <v>1492.8830743558481</v>
      </c>
      <c r="L88" s="22">
        <f>L87-E110</f>
        <v>974.31882518509201</v>
      </c>
      <c r="M88" s="22">
        <f>M87-G110</f>
        <v>198.22222222222223</v>
      </c>
      <c r="N88" s="22">
        <f>N87-F110</f>
        <v>675.07102603580722</v>
      </c>
    </row>
    <row r="89" spans="1:14" ht="14.85" customHeight="1">
      <c r="A89" s="240" t="s">
        <v>103</v>
      </c>
      <c r="B89" s="241"/>
      <c r="C89" s="155" t="s">
        <v>142</v>
      </c>
      <c r="D89" s="212">
        <f>M51</f>
        <v>228.44444444444446</v>
      </c>
      <c r="E89" s="18">
        <v>0.99980000000000002</v>
      </c>
      <c r="F89" s="15"/>
      <c r="H89" s="92" t="s">
        <v>134</v>
      </c>
      <c r="I89" s="22">
        <f>I88-B110</f>
        <v>5634.3712896685483</v>
      </c>
      <c r="J89" s="22">
        <f>J88-C110</f>
        <v>119.61948249619491</v>
      </c>
      <c r="K89" s="22">
        <f>K88-D110</f>
        <v>1459.0092278352549</v>
      </c>
      <c r="L89" s="22">
        <f>L88-E110</f>
        <v>972.76375276193403</v>
      </c>
      <c r="M89" s="22">
        <f>M88-G110</f>
        <v>183.11111111111111</v>
      </c>
      <c r="N89" s="22">
        <f>N88-F110</f>
        <v>647.60667075593608</v>
      </c>
    </row>
    <row r="90" spans="1:14" ht="14.85" customHeight="1">
      <c r="A90" s="242"/>
      <c r="B90" s="243"/>
      <c r="C90" s="153"/>
      <c r="D90" s="22"/>
      <c r="E90" s="18"/>
      <c r="F90" s="15"/>
      <c r="H90" s="92" t="s">
        <v>135</v>
      </c>
      <c r="I90" s="22">
        <f>I89-B110</f>
        <v>4817.0427008771167</v>
      </c>
      <c r="J90" s="22">
        <f>J89-C110</f>
        <v>90.821917808219268</v>
      </c>
      <c r="K90" s="22">
        <f>K89-D110</f>
        <v>1425.1353813146618</v>
      </c>
      <c r="L90" s="22">
        <f>L89-E110</f>
        <v>971.20868033877605</v>
      </c>
      <c r="M90" s="22">
        <f>M89-G110</f>
        <v>168</v>
      </c>
      <c r="N90" s="22">
        <f>N89-F110</f>
        <v>620.14231547606494</v>
      </c>
    </row>
    <row r="91" spans="1:14" ht="14.85" customHeight="1">
      <c r="A91" s="157"/>
      <c r="B91" s="157"/>
      <c r="C91" s="158"/>
      <c r="D91" s="10"/>
      <c r="E91" s="37"/>
      <c r="F91" s="15"/>
      <c r="H91" s="92" t="s">
        <v>136</v>
      </c>
      <c r="I91" s="22">
        <f>I90-B110</f>
        <v>3999.7141120856854</v>
      </c>
      <c r="J91" s="22">
        <f>J90-C110</f>
        <v>62.024353120243632</v>
      </c>
      <c r="K91" s="22">
        <f>K90-D110</f>
        <v>1391.2615347940687</v>
      </c>
      <c r="L91" s="22">
        <f>L90-E110</f>
        <v>969.65360791561807</v>
      </c>
      <c r="M91" s="22">
        <f>M90-G110</f>
        <v>152.88888888888889</v>
      </c>
      <c r="N91" s="22">
        <f>N90-F110</f>
        <v>592.67796019619379</v>
      </c>
    </row>
    <row r="92" spans="1:14" ht="14.85" customHeight="1">
      <c r="B92" s="15"/>
      <c r="C92" s="23"/>
      <c r="E92" s="15"/>
      <c r="F92" s="15"/>
      <c r="H92" s="92" t="s">
        <v>137</v>
      </c>
      <c r="I92" s="22">
        <f>I91-B110</f>
        <v>3182.3855232942542</v>
      </c>
      <c r="J92" s="22">
        <f>J91-C110</f>
        <v>33.226788432267995</v>
      </c>
      <c r="K92" s="22">
        <f>K91-D110</f>
        <v>1357.3876882734755</v>
      </c>
      <c r="L92" s="22">
        <f>L91-E110</f>
        <v>968.09853549246009</v>
      </c>
      <c r="M92" s="22">
        <f>M91-G110</f>
        <v>137.77777777777777</v>
      </c>
      <c r="N92" s="22">
        <f>N91-F110</f>
        <v>565.21360491632265</v>
      </c>
    </row>
    <row r="93" spans="1:14" ht="14.85" customHeight="1">
      <c r="A93" s="19" t="s">
        <v>83</v>
      </c>
      <c r="B93" s="6" t="s">
        <v>76</v>
      </c>
      <c r="C93" s="6" t="s">
        <v>84</v>
      </c>
      <c r="D93" s="6" t="s">
        <v>25</v>
      </c>
      <c r="E93" s="6" t="s">
        <v>27</v>
      </c>
      <c r="F93" s="6" t="s">
        <v>26</v>
      </c>
      <c r="G93" s="6" t="s">
        <v>105</v>
      </c>
      <c r="H93" s="92" t="s">
        <v>138</v>
      </c>
      <c r="I93" s="22">
        <f>I92-B110</f>
        <v>2365.056934502823</v>
      </c>
      <c r="J93" s="22">
        <f>J92-C110</f>
        <v>4.4292237442923543</v>
      </c>
      <c r="K93" s="22">
        <f>K92-D110</f>
        <v>1323.5138417528824</v>
      </c>
      <c r="L93" s="22">
        <f>L92-E110</f>
        <v>966.54346306930211</v>
      </c>
      <c r="M93" s="22">
        <f>M92-G110</f>
        <v>122.66666666666666</v>
      </c>
      <c r="N93" s="22">
        <f>N92-F110</f>
        <v>537.74924963645151</v>
      </c>
    </row>
    <row r="94" spans="1:14" ht="14.85" customHeight="1">
      <c r="A94" s="25" t="s">
        <v>85</v>
      </c>
      <c r="B94" s="9">
        <f>E84</f>
        <v>0.99739999999999995</v>
      </c>
      <c r="C94" s="9"/>
      <c r="D94" s="26"/>
      <c r="E94" s="18">
        <f>1-E97</f>
        <v>0.6</v>
      </c>
      <c r="F94" s="7"/>
      <c r="G94" s="73"/>
      <c r="H94" s="24"/>
      <c r="I94" s="22">
        <f>I93-B110</f>
        <v>1547.7283457113917</v>
      </c>
      <c r="J94" s="22">
        <f>J93-C110</f>
        <v>-24.368340943683286</v>
      </c>
      <c r="K94" s="22">
        <f>K93-D110</f>
        <v>1289.6399952322893</v>
      </c>
      <c r="L94" s="22">
        <f>L93-E110</f>
        <v>964.98839064614413</v>
      </c>
      <c r="M94" s="22">
        <f>M93-G110</f>
        <v>107.55555555555554</v>
      </c>
      <c r="N94" s="22">
        <f>N93-F110</f>
        <v>510.28489435658042</v>
      </c>
    </row>
    <row r="95" spans="1:14" ht="14.85" customHeight="1">
      <c r="A95" s="25" t="s">
        <v>86</v>
      </c>
      <c r="B95" s="27"/>
      <c r="C95" s="27">
        <f>IF(C85=lotalv1,alalv1,IF(C85=lotalv2,alalv2,"ERR LOT"))</f>
        <v>0.33800000000000002</v>
      </c>
      <c r="D95" s="28">
        <f>E86</f>
        <v>0.99860000000000004</v>
      </c>
      <c r="E95" s="18"/>
      <c r="F95" s="7"/>
      <c r="G95" s="73"/>
    </row>
    <row r="96" spans="1:14" ht="14.85" customHeight="1">
      <c r="A96" s="25" t="s">
        <v>87</v>
      </c>
      <c r="B96" s="27"/>
      <c r="C96" s="27">
        <f>IF(C85=lotalv1,valv1,IF(C85=lotalv2,valv2,"ERR LOT"))</f>
        <v>0.65700000000000003</v>
      </c>
      <c r="D96" s="28"/>
      <c r="E96" s="18"/>
      <c r="F96" s="7"/>
      <c r="G96" s="73"/>
    </row>
    <row r="97" spans="1:12" ht="14.85" customHeight="1">
      <c r="A97" s="25" t="s">
        <v>88</v>
      </c>
      <c r="B97" s="27">
        <f>IF(C84=lotti1,oxti1,IF(C84=lotti2,oxti2,IF(C84=lotti3,oxti3,IF(C84=lotti4,oxti4,IF(C84=lotti5,oxti5,IF(C84=lotti6,oxti6,IF(C84=lotti7,oxti7,IF(C84=lotti8,oxti8,"ERR LOT"))))))))</f>
        <v>2.7999999999999998E-4</v>
      </c>
      <c r="C97" s="27">
        <f>IF(C85=lotalv1,oxalv1,IF(C85=lotalv2,oxalv2,"ERR LOT"))</f>
        <v>4.0000000000000002E-4</v>
      </c>
      <c r="D97" s="28">
        <f>IF(C86=lotal1,oxal1,IF(C86=lotal2,oxal2,"ERR LOT"))</f>
        <v>0</v>
      </c>
      <c r="E97" s="18">
        <f>IF(C88=lottio2,oxtio2,"err LOT")</f>
        <v>0.4</v>
      </c>
      <c r="F97" s="7"/>
      <c r="G97" s="73"/>
    </row>
    <row r="98" spans="1:12" ht="14.85" customHeight="1">
      <c r="A98" s="29" t="s">
        <v>89</v>
      </c>
      <c r="B98" s="162">
        <f>IF(C84=lotti1,feti1,IF(C84=lotti2,feti2,IF(C84=lotti3,feti3,IF(C84=lotti4,feti4,IF(C84=lotti5,feti5,IF(C84=lotti6,feti6,IF(C84=lotti7,feti7,IF(C84=lotti8,feti8,"ERR LOT"))))))))</f>
        <v>4.0000000000000003E-5</v>
      </c>
      <c r="C98" s="27">
        <f>IF(C85=lotalv1,fealv1,IF(C85=lotalv2,fealv2,"ERR LOT"))</f>
        <v>2E-3</v>
      </c>
      <c r="D98" s="28">
        <f>IF(C86=lotal1,feal1,IF(C86=lotal2,feal2,"ERR LOT"))</f>
        <v>8.3000000000000001E-4</v>
      </c>
      <c r="E98" s="18"/>
      <c r="F98" s="7">
        <v>0.99</v>
      </c>
      <c r="G98" s="73"/>
    </row>
    <row r="99" spans="1:12" ht="14.85" customHeight="1">
      <c r="A99" s="161" t="s">
        <v>106</v>
      </c>
      <c r="B99" s="7"/>
      <c r="C99" s="7"/>
      <c r="D99" s="7"/>
      <c r="E99" s="7"/>
      <c r="F99" s="7"/>
      <c r="G99" s="7">
        <v>0.99</v>
      </c>
    </row>
    <row r="100" spans="1:12" ht="14.85" customHeight="1">
      <c r="A100" s="32"/>
      <c r="B100" s="33"/>
      <c r="C100" s="33"/>
      <c r="D100" s="33"/>
      <c r="E100" s="37"/>
      <c r="F100" s="33"/>
    </row>
    <row r="101" spans="1:12" ht="14.85" customHeight="1">
      <c r="A101" s="32"/>
      <c r="B101" s="33"/>
      <c r="C101" s="33"/>
      <c r="D101" s="33"/>
      <c r="E101" s="33"/>
      <c r="F101" s="33"/>
    </row>
    <row r="102" spans="1:12" ht="14.85" customHeight="1">
      <c r="A102" s="236" t="s">
        <v>90</v>
      </c>
      <c r="B102" s="34" t="s">
        <v>63</v>
      </c>
      <c r="C102" s="34" t="s">
        <v>13</v>
      </c>
      <c r="D102" s="34" t="s">
        <v>14</v>
      </c>
      <c r="E102" s="34" t="s">
        <v>10</v>
      </c>
      <c r="F102" s="159" t="s">
        <v>11</v>
      </c>
      <c r="G102" s="73" t="s">
        <v>104</v>
      </c>
    </row>
    <row r="103" spans="1:12" ht="14.85" customHeight="1">
      <c r="A103" s="236"/>
      <c r="B103" s="35" t="s">
        <v>91</v>
      </c>
      <c r="C103" s="36">
        <f>K82</f>
        <v>2.1499999999999998E-2</v>
      </c>
      <c r="D103" s="36">
        <f>I82</f>
        <v>4.9500000000000002E-2</v>
      </c>
      <c r="E103" s="36">
        <f>C82</f>
        <v>9.7999999999999997E-4</v>
      </c>
      <c r="F103" s="160">
        <f>D82</f>
        <v>3.1E-2</v>
      </c>
      <c r="G103" s="160">
        <f>M82</f>
        <v>1.7000000000000001E-2</v>
      </c>
    </row>
    <row r="104" spans="1:12" ht="14.85" customHeight="1">
      <c r="H104" s="24"/>
    </row>
    <row r="105" spans="1:12" ht="14.85" customHeight="1">
      <c r="A105" s="237" t="s">
        <v>92</v>
      </c>
      <c r="B105" s="237"/>
      <c r="C105" s="237"/>
      <c r="D105" s="237"/>
      <c r="E105" s="237"/>
      <c r="F105" s="237"/>
      <c r="G105" s="237"/>
    </row>
    <row r="106" spans="1:12" ht="14.85" customHeight="1">
      <c r="A106" s="6" t="s">
        <v>93</v>
      </c>
      <c r="B106" s="6" t="s">
        <v>76</v>
      </c>
      <c r="C106" s="6" t="s">
        <v>84</v>
      </c>
      <c r="D106" s="6" t="s">
        <v>25</v>
      </c>
      <c r="E106" s="6" t="s">
        <v>27</v>
      </c>
      <c r="F106" s="6" t="s">
        <v>26</v>
      </c>
      <c r="G106" s="6" t="s">
        <v>105</v>
      </c>
    </row>
    <row r="107" spans="1:12" ht="35.4" customHeight="1">
      <c r="A107" s="122">
        <v>40</v>
      </c>
      <c r="B107" s="156">
        <f>A107-C107-D107</f>
        <v>37.151299490519605</v>
      </c>
      <c r="C107" s="122">
        <f>A107*C103/C96</f>
        <v>1.3089802130898018</v>
      </c>
      <c r="D107" s="122">
        <f>(A107*D103-C107*C95)/D95</f>
        <v>1.5397202963905936</v>
      </c>
      <c r="E107" s="122">
        <f>(A107*E103-B107*B97-C107*C97-D107*D97)/E97</f>
        <v>7.0685110143546462E-2</v>
      </c>
      <c r="F107" s="122">
        <f>(A107*F103-B107*B98-C107*C98)/F98</f>
        <v>1.2483797854486867</v>
      </c>
      <c r="G107" s="122">
        <f>A107*G103/G99</f>
        <v>0.68686868686868696</v>
      </c>
    </row>
    <row r="108" spans="1:12" ht="14.85" hidden="1" customHeight="1">
      <c r="A108" s="38">
        <v>20</v>
      </c>
      <c r="B108" s="38">
        <f>A108-C108-D108</f>
        <v>18.576727549467275</v>
      </c>
      <c r="C108" s="38">
        <f>A108*C103/C96</f>
        <v>0.65449010654490092</v>
      </c>
      <c r="D108" s="38">
        <f>A108*D103-C108*C95</f>
        <v>0.76878234398782341</v>
      </c>
      <c r="E108" s="38">
        <f>(A108*E103-B108*B98-C108*C98-D108*D98)/E97</f>
        <v>4.2274653348554035E-2</v>
      </c>
      <c r="F108" s="38">
        <v>0</v>
      </c>
      <c r="I108" s="37"/>
      <c r="J108" s="39"/>
      <c r="K108" s="37"/>
      <c r="L108" s="37"/>
    </row>
    <row r="109" spans="1:12" ht="14.85" customHeight="1">
      <c r="A109" s="37"/>
      <c r="B109" s="37"/>
      <c r="C109" s="37"/>
      <c r="D109" s="37"/>
      <c r="E109" s="37"/>
      <c r="F109" s="37"/>
      <c r="I109" s="37"/>
      <c r="J109" s="39"/>
      <c r="K109" s="37"/>
      <c r="L109" s="37"/>
    </row>
    <row r="110" spans="1:12" ht="14.85" customHeight="1">
      <c r="A110" s="22">
        <f>A107*J110</f>
        <v>880</v>
      </c>
      <c r="B110" s="22">
        <f>B107*J110</f>
        <v>817.32858879143134</v>
      </c>
      <c r="C110" s="22">
        <f>C107*J110</f>
        <v>28.79756468797564</v>
      </c>
      <c r="D110" s="22">
        <f>D107*J110</f>
        <v>33.873846520593062</v>
      </c>
      <c r="E110" s="40">
        <f>E107*J110</f>
        <v>1.5550724231580222</v>
      </c>
      <c r="F110" s="40">
        <f>F107*J110</f>
        <v>27.464355279871107</v>
      </c>
      <c r="G110" s="40">
        <f>G107*J110</f>
        <v>15.111111111111112</v>
      </c>
      <c r="I110" s="12" t="s">
        <v>94</v>
      </c>
      <c r="J110" s="93">
        <v>22</v>
      </c>
      <c r="K110" s="15"/>
      <c r="L110" s="39"/>
    </row>
    <row r="115" spans="1:14" ht="14.85" customHeight="1" thickBot="1"/>
    <row r="116" spans="1:14" ht="14.85" customHeight="1" thickBot="1">
      <c r="A116" s="247" t="str">
        <f>astm</f>
        <v>Sp. QST4-A-BL543 Revision 00.</v>
      </c>
      <c r="B116" s="247"/>
      <c r="C116" s="247"/>
      <c r="D116" s="247"/>
      <c r="E116" s="247"/>
      <c r="G116" s="91" t="s">
        <v>101</v>
      </c>
      <c r="H116" s="169" t="s">
        <v>123</v>
      </c>
      <c r="I116" s="2"/>
      <c r="J116" s="3" t="s">
        <v>75</v>
      </c>
      <c r="K116" s="4">
        <v>4</v>
      </c>
    </row>
    <row r="117" spans="1:14" ht="14.85" customHeight="1">
      <c r="A117" s="5"/>
      <c r="B117" s="5" t="s">
        <v>1</v>
      </c>
      <c r="C117" s="5" t="s">
        <v>2</v>
      </c>
      <c r="D117" s="5" t="s">
        <v>107</v>
      </c>
      <c r="E117" s="5" t="s">
        <v>3</v>
      </c>
      <c r="F117" s="5" t="s">
        <v>108</v>
      </c>
      <c r="G117" s="41" t="s">
        <v>4</v>
      </c>
      <c r="H117" s="41" t="s">
        <v>5</v>
      </c>
      <c r="I117" s="5" t="s">
        <v>6</v>
      </c>
      <c r="J117" s="5" t="s">
        <v>7</v>
      </c>
      <c r="K117" s="5" t="s">
        <v>8</v>
      </c>
      <c r="L117" s="168" t="s">
        <v>104</v>
      </c>
      <c r="M117" s="166"/>
    </row>
    <row r="118" spans="1:14" ht="14.85" customHeight="1">
      <c r="A118" s="5"/>
      <c r="B118" s="90">
        <v>8.0000000000000004E-4</v>
      </c>
      <c r="C118" s="90">
        <v>2.5000000000000001E-3</v>
      </c>
      <c r="D118" s="90">
        <v>2.9000000000000001E-2</v>
      </c>
      <c r="E118" s="90">
        <v>3.2000000000000001E-2</v>
      </c>
      <c r="F118" s="90" t="s">
        <v>120</v>
      </c>
      <c r="G118" s="90" t="s">
        <v>121</v>
      </c>
      <c r="H118" s="90">
        <v>4.3999999999999997E-2</v>
      </c>
      <c r="I118" s="90">
        <v>4.8000000000000001E-2</v>
      </c>
      <c r="J118" s="90">
        <v>1.9E-2</v>
      </c>
      <c r="K118" s="90">
        <v>2.3E-2</v>
      </c>
      <c r="L118" s="90">
        <v>1.4999999999999999E-2</v>
      </c>
      <c r="M118" s="90">
        <v>1.7999999999999999E-2</v>
      </c>
    </row>
    <row r="119" spans="1:14" ht="14.85" customHeight="1">
      <c r="A119" s="217" t="s">
        <v>119</v>
      </c>
      <c r="B119" s="245">
        <v>1.1999999999999999E-3</v>
      </c>
      <c r="C119" s="246"/>
      <c r="D119" s="245">
        <v>3.1E-2</v>
      </c>
      <c r="E119" s="246"/>
      <c r="F119" s="218">
        <v>5.0000000000000002E-5</v>
      </c>
      <c r="G119" s="216" t="s">
        <v>122</v>
      </c>
      <c r="H119" s="245">
        <v>4.4999999999999998E-2</v>
      </c>
      <c r="I119" s="246"/>
      <c r="J119" s="245">
        <v>2.1000000000000001E-2</v>
      </c>
      <c r="K119" s="246"/>
      <c r="L119" s="245">
        <v>1.6E-2</v>
      </c>
      <c r="M119" s="246"/>
      <c r="N119" s="30"/>
    </row>
    <row r="120" spans="1:14" ht="14.4">
      <c r="A120" s="8" t="s">
        <v>116</v>
      </c>
      <c r="B120" s="90"/>
      <c r="C120" s="215">
        <v>9.7999999999999997E-4</v>
      </c>
      <c r="D120" s="230">
        <v>3.1E-2</v>
      </c>
      <c r="E120" s="230"/>
      <c r="F120" s="7"/>
      <c r="G120" s="7"/>
      <c r="H120" s="215" t="s">
        <v>14</v>
      </c>
      <c r="I120" s="215">
        <v>4.9500000000000002E-2</v>
      </c>
      <c r="J120" s="215" t="s">
        <v>13</v>
      </c>
      <c r="K120" s="215">
        <v>2.1499999999999998E-2</v>
      </c>
      <c r="L120" s="215" t="s">
        <v>104</v>
      </c>
      <c r="M120" s="215">
        <v>1.7000000000000001E-2</v>
      </c>
    </row>
    <row r="121" spans="1:14" ht="14.85" customHeight="1">
      <c r="A121" s="10"/>
      <c r="B121" s="10"/>
      <c r="C121" s="10"/>
      <c r="D121" s="10"/>
      <c r="E121" s="11"/>
      <c r="F121" s="11"/>
      <c r="G121" s="12"/>
      <c r="H121" s="13"/>
      <c r="I121" s="14"/>
      <c r="K121" s="15"/>
    </row>
    <row r="122" spans="1:14" ht="14.85" customHeight="1">
      <c r="A122" s="238" t="s">
        <v>76</v>
      </c>
      <c r="B122" s="238"/>
      <c r="C122" s="163" t="s">
        <v>126</v>
      </c>
      <c r="D122" s="22">
        <f>I93</f>
        <v>2365.056934502823</v>
      </c>
      <c r="E122" s="16">
        <v>0.99739999999999995</v>
      </c>
      <c r="F122" s="17"/>
      <c r="H122" s="24"/>
      <c r="I122" s="244" t="s">
        <v>78</v>
      </c>
      <c r="J122" s="244"/>
      <c r="K122" s="244"/>
      <c r="L122" s="244"/>
    </row>
    <row r="123" spans="1:14" ht="14.85" customHeight="1">
      <c r="A123" s="238" t="s">
        <v>77</v>
      </c>
      <c r="B123" s="238"/>
      <c r="C123" s="163">
        <v>347445</v>
      </c>
      <c r="D123" s="22">
        <f>DateIntrare!J48</f>
        <v>1360.8</v>
      </c>
      <c r="E123" s="18"/>
      <c r="F123" s="15"/>
      <c r="I123" s="19" t="s">
        <v>63</v>
      </c>
      <c r="J123" s="20" t="s">
        <v>80</v>
      </c>
      <c r="K123" s="19" t="s">
        <v>14</v>
      </c>
      <c r="L123" s="21" t="s">
        <v>27</v>
      </c>
      <c r="M123" s="73" t="s">
        <v>104</v>
      </c>
      <c r="N123" s="73" t="s">
        <v>11</v>
      </c>
    </row>
    <row r="124" spans="1:14" ht="14.85" customHeight="1">
      <c r="A124" s="238" t="s">
        <v>79</v>
      </c>
      <c r="B124" s="238"/>
      <c r="C124" s="163" t="s">
        <v>128</v>
      </c>
      <c r="D124" s="22">
        <f>K93</f>
        <v>1323.5138417528824</v>
      </c>
      <c r="E124" s="18">
        <v>0.99860000000000004</v>
      </c>
      <c r="F124" s="15"/>
      <c r="H124" s="92" t="s">
        <v>138</v>
      </c>
      <c r="I124" s="22">
        <f>D122+J105</f>
        <v>2365.056934502823</v>
      </c>
      <c r="J124" s="22">
        <f>D123+J93</f>
        <v>1365.2292237442923</v>
      </c>
      <c r="K124" s="22">
        <f>D124</f>
        <v>1323.5138417528824</v>
      </c>
      <c r="L124" s="22">
        <f>D126</f>
        <v>966.54346306930211</v>
      </c>
      <c r="M124" s="22">
        <f>D127</f>
        <v>122.66666666666666</v>
      </c>
      <c r="N124" s="22">
        <f>D125</f>
        <v>537.74924963645151</v>
      </c>
    </row>
    <row r="125" spans="1:14" ht="14.85" customHeight="1">
      <c r="A125" s="238" t="s">
        <v>81</v>
      </c>
      <c r="B125" s="238"/>
      <c r="C125" s="163">
        <v>4430521</v>
      </c>
      <c r="D125" s="22">
        <f>N93</f>
        <v>537.74924963645151</v>
      </c>
      <c r="E125" s="18"/>
      <c r="F125" s="15"/>
      <c r="H125" s="92" t="s">
        <v>139</v>
      </c>
      <c r="I125" s="22">
        <f>I124-B148</f>
        <v>1547.6997367159979</v>
      </c>
      <c r="J125" s="22">
        <f>J124-C148</f>
        <v>1336.3437275610863</v>
      </c>
      <c r="K125" s="22">
        <f>K124-D148</f>
        <v>1289.7565357229137</v>
      </c>
      <c r="L125" s="22">
        <f>L124-E148</f>
        <v>964.99571997798193</v>
      </c>
      <c r="M125" s="22">
        <f>M124-G148</f>
        <v>107.55555555555554</v>
      </c>
      <c r="N125" s="22">
        <f>N124-F148</f>
        <v>510.28507315188369</v>
      </c>
    </row>
    <row r="126" spans="1:14" ht="14.85" customHeight="1">
      <c r="A126" s="239" t="s">
        <v>82</v>
      </c>
      <c r="B126" s="239"/>
      <c r="C126" s="163" t="s">
        <v>144</v>
      </c>
      <c r="D126" s="22">
        <f>L93</f>
        <v>966.54346306930211</v>
      </c>
      <c r="E126" s="18"/>
      <c r="F126" s="15"/>
      <c r="H126" s="92" t="s">
        <v>140</v>
      </c>
      <c r="I126" s="22">
        <f>I125-B148</f>
        <v>730.34253892917275</v>
      </c>
      <c r="J126" s="22">
        <f>J125-C148</f>
        <v>1307.4582313778801</v>
      </c>
      <c r="K126" s="22">
        <f>K125-D148</f>
        <v>1255.9992296929449</v>
      </c>
      <c r="L126" s="22">
        <f>L125-E148</f>
        <v>963.44797688666176</v>
      </c>
      <c r="M126" s="22">
        <f>M125-G148</f>
        <v>92.444444444444429</v>
      </c>
      <c r="N126" s="22">
        <f>N125-F148</f>
        <v>482.82089666731588</v>
      </c>
    </row>
    <row r="127" spans="1:14" ht="14.85" customHeight="1">
      <c r="A127" s="240" t="s">
        <v>103</v>
      </c>
      <c r="B127" s="241"/>
      <c r="C127" s="163" t="s">
        <v>142</v>
      </c>
      <c r="D127" s="212">
        <f>M93</f>
        <v>122.66666666666666</v>
      </c>
      <c r="E127" s="18">
        <v>0.99980000000000002</v>
      </c>
      <c r="F127" s="15"/>
      <c r="I127" s="22">
        <f>I126-B148</f>
        <v>-87.014658857652421</v>
      </c>
      <c r="J127" s="22">
        <f>J126-C148</f>
        <v>1278.5727351946739</v>
      </c>
      <c r="K127" s="22">
        <f>K126-D148</f>
        <v>1222.2419236629762</v>
      </c>
      <c r="L127" s="22">
        <f>L126-E148</f>
        <v>961.90023379534159</v>
      </c>
      <c r="M127" s="22">
        <f>M126-G148</f>
        <v>77.333333333333314</v>
      </c>
      <c r="N127" s="22">
        <f>N126-F148</f>
        <v>455.35672018274806</v>
      </c>
    </row>
    <row r="128" spans="1:14" ht="14.85" customHeight="1">
      <c r="A128" s="242"/>
      <c r="B128" s="243"/>
      <c r="C128" s="153"/>
      <c r="D128" s="22"/>
      <c r="E128" s="18"/>
      <c r="F128" s="15"/>
    </row>
    <row r="129" spans="1:14" ht="14.85" customHeight="1">
      <c r="A129" s="157"/>
      <c r="B129" s="157"/>
      <c r="C129" s="158"/>
      <c r="D129" s="10"/>
      <c r="E129" s="37"/>
      <c r="F129" s="15"/>
    </row>
    <row r="130" spans="1:14" ht="14.85" customHeight="1">
      <c r="B130" s="15"/>
      <c r="C130" s="23"/>
      <c r="E130" s="15"/>
      <c r="F130" s="15"/>
    </row>
    <row r="131" spans="1:14" ht="14.85" customHeight="1">
      <c r="A131" s="19" t="s">
        <v>83</v>
      </c>
      <c r="B131" s="6" t="s">
        <v>76</v>
      </c>
      <c r="C131" s="6" t="s">
        <v>84</v>
      </c>
      <c r="D131" s="6" t="s">
        <v>25</v>
      </c>
      <c r="E131" s="6" t="s">
        <v>27</v>
      </c>
      <c r="F131" s="6" t="s">
        <v>26</v>
      </c>
      <c r="G131" s="6" t="s">
        <v>105</v>
      </c>
      <c r="M131" s="24"/>
    </row>
    <row r="132" spans="1:14" ht="14.85" customHeight="1">
      <c r="A132" s="25" t="s">
        <v>85</v>
      </c>
      <c r="B132" s="9">
        <f>E122</f>
        <v>0.99739999999999995</v>
      </c>
      <c r="C132" s="9"/>
      <c r="D132" s="26"/>
      <c r="E132" s="18">
        <f>1-E135</f>
        <v>0.6</v>
      </c>
      <c r="F132" s="7"/>
      <c r="G132" s="73"/>
    </row>
    <row r="133" spans="1:14" ht="14.85" customHeight="1">
      <c r="A133" s="25" t="s">
        <v>86</v>
      </c>
      <c r="B133" s="27"/>
      <c r="C133" s="27">
        <f>IF(C123=lotalv1,alalv1,IF(C123=lotalv2,alalv2,"ERR LOT"))</f>
        <v>0.34100000000000003</v>
      </c>
      <c r="D133" s="28">
        <f>E124</f>
        <v>0.99860000000000004</v>
      </c>
      <c r="E133" s="18"/>
      <c r="F133" s="7"/>
      <c r="G133" s="73"/>
    </row>
    <row r="134" spans="1:14" ht="14.85" customHeight="1">
      <c r="A134" s="25" t="s">
        <v>87</v>
      </c>
      <c r="B134" s="27"/>
      <c r="C134" s="27">
        <f>IF(C123=lotalv1,valv1,IF(C123=lotalv2,valv2,"ERR LOT"))</f>
        <v>0.65500000000000003</v>
      </c>
      <c r="D134" s="28"/>
      <c r="E134" s="18"/>
      <c r="F134" s="7"/>
      <c r="G134" s="73"/>
    </row>
    <row r="135" spans="1:14" ht="14.85" customHeight="1">
      <c r="A135" s="25" t="s">
        <v>88</v>
      </c>
      <c r="B135" s="27">
        <f>IF(C122=lotti1,oxti1,IF(C122=lotti2,oxti2,IF(C122=lotti3,oxti3,IF(C122=lotti4,oxti4,IF(C122=lotti5,oxti5,IF(C122=lotti6,oxti6,IF(C122=lotti7,oxti7,IF(C122=lotti8,oxti8,"ERR LOT"))))))))</f>
        <v>2.7999999999999998E-4</v>
      </c>
      <c r="C135" s="27">
        <f>IF(C123=lotalv1,oxalv1,IF(C123=lotalv2,oxalv2,"ERR LOT"))</f>
        <v>5.0000000000000001E-4</v>
      </c>
      <c r="D135" s="28">
        <f>IF(C124=lotal1,oxal1,IF(C124=lotal2,oxal2,"ERR LOT"))</f>
        <v>0</v>
      </c>
      <c r="E135" s="18">
        <f>IF(C126=lottio2,oxtio2,"err LOT")</f>
        <v>0.4</v>
      </c>
      <c r="F135" s="7"/>
      <c r="G135" s="73"/>
    </row>
    <row r="136" spans="1:14" ht="14.85" customHeight="1">
      <c r="A136" s="29" t="s">
        <v>89</v>
      </c>
      <c r="B136" s="162">
        <f>IF(C122=lotti1,feti1,IF(C122=lotti2,feti2,IF(C122=lotti3,feti3,IF(C122=lotti4,feti4,IF(C122=lotti5,feti5,IF(C122=lotti6,feti6,IF(C122=lotti7,feti7,IF(C122=lotti8,feti8,"ERR LOT"))))))))</f>
        <v>4.0000000000000003E-5</v>
      </c>
      <c r="C136" s="27">
        <f>IF(C123=lotalv1,fealv1,IF(C123=lotalv2,fealv2,"ERR LOT"))</f>
        <v>2E-3</v>
      </c>
      <c r="D136" s="28">
        <f>IF(C124=lotal1,feal1,IF(C124=lotal2,feal2,"ERR LOT"))</f>
        <v>8.3000000000000001E-4</v>
      </c>
      <c r="E136" s="18"/>
      <c r="F136" s="7">
        <v>0.99</v>
      </c>
      <c r="G136" s="73"/>
    </row>
    <row r="137" spans="1:14" ht="14.85" customHeight="1">
      <c r="A137" s="161" t="s">
        <v>106</v>
      </c>
      <c r="B137" s="7"/>
      <c r="C137" s="7"/>
      <c r="D137" s="7"/>
      <c r="E137" s="7"/>
      <c r="F137" s="7"/>
      <c r="G137" s="7">
        <v>0.99</v>
      </c>
    </row>
    <row r="138" spans="1:14" ht="14.85" customHeight="1">
      <c r="A138" s="32"/>
      <c r="B138" s="33"/>
      <c r="C138" s="33"/>
      <c r="D138" s="33"/>
      <c r="E138" s="37"/>
      <c r="F138" s="33"/>
    </row>
    <row r="139" spans="1:14" ht="14.85" customHeight="1">
      <c r="A139" s="32"/>
      <c r="B139" s="33"/>
      <c r="C139" s="33"/>
      <c r="D139" s="33"/>
      <c r="E139" s="33"/>
      <c r="F139" s="33"/>
    </row>
    <row r="140" spans="1:14" ht="14.85" customHeight="1">
      <c r="A140" s="236" t="s">
        <v>90</v>
      </c>
      <c r="B140" s="34" t="s">
        <v>63</v>
      </c>
      <c r="C140" s="34" t="s">
        <v>13</v>
      </c>
      <c r="D140" s="34" t="s">
        <v>14</v>
      </c>
      <c r="E140" s="34" t="s">
        <v>10</v>
      </c>
      <c r="F140" s="159" t="s">
        <v>11</v>
      </c>
      <c r="G140" s="73" t="s">
        <v>104</v>
      </c>
    </row>
    <row r="141" spans="1:14" ht="14.85" customHeight="1">
      <c r="A141" s="236"/>
      <c r="B141" s="35" t="s">
        <v>91</v>
      </c>
      <c r="C141" s="36">
        <f>K120</f>
        <v>2.1499999999999998E-2</v>
      </c>
      <c r="D141" s="36">
        <f>I120</f>
        <v>4.9500000000000002E-2</v>
      </c>
      <c r="E141" s="36">
        <f>C120</f>
        <v>9.7999999999999997E-4</v>
      </c>
      <c r="F141" s="160">
        <f>D120</f>
        <v>3.1E-2</v>
      </c>
      <c r="G141" s="160">
        <f>M120</f>
        <v>1.7000000000000001E-2</v>
      </c>
    </row>
    <row r="142" spans="1:14" ht="14.85" customHeight="1">
      <c r="H142" s="24"/>
      <c r="I142" s="24"/>
      <c r="J142" s="24"/>
      <c r="K142" s="24"/>
      <c r="L142" s="24"/>
      <c r="M142" s="24"/>
      <c r="N142" s="24"/>
    </row>
    <row r="143" spans="1:14" ht="14.85" customHeight="1">
      <c r="A143" s="237" t="s">
        <v>92</v>
      </c>
      <c r="B143" s="237"/>
      <c r="C143" s="237"/>
      <c r="D143" s="237"/>
      <c r="E143" s="237"/>
      <c r="F143" s="237"/>
      <c r="G143" s="237"/>
    </row>
    <row r="144" spans="1:14" ht="14.85" customHeight="1">
      <c r="A144" s="6" t="s">
        <v>93</v>
      </c>
      <c r="B144" s="6" t="s">
        <v>76</v>
      </c>
      <c r="C144" s="6" t="s">
        <v>84</v>
      </c>
      <c r="D144" s="6" t="s">
        <v>25</v>
      </c>
      <c r="E144" s="6" t="s">
        <v>27</v>
      </c>
      <c r="F144" s="6" t="s">
        <v>26</v>
      </c>
      <c r="G144" s="6" t="s">
        <v>105</v>
      </c>
    </row>
    <row r="145" spans="1:14" ht="31.2" customHeight="1">
      <c r="A145" s="122">
        <v>40</v>
      </c>
      <c r="B145" s="156">
        <f>A145-C145-D145</f>
        <v>37.152599899401146</v>
      </c>
      <c r="C145" s="122">
        <f>A145*C141/C134</f>
        <v>1.312977099236641</v>
      </c>
      <c r="D145" s="122">
        <f>(A145*D141-C145*C133)/D133</f>
        <v>1.5344230013622124</v>
      </c>
      <c r="E145" s="122">
        <f>(A145*E141-B145*B135-C145*C135-D145*D135)/E135</f>
        <v>7.0351958696373396E-2</v>
      </c>
      <c r="F145" s="122">
        <f>(A145*F141-B145*B136-C145*C136)/F136</f>
        <v>1.2483716583894451</v>
      </c>
      <c r="G145" s="122">
        <f>A145*G141/G137</f>
        <v>0.68686868686868696</v>
      </c>
    </row>
    <row r="146" spans="1:14" ht="14.85" hidden="1" customHeight="1">
      <c r="A146" s="38">
        <v>20</v>
      </c>
      <c r="B146" s="38">
        <f>A146-C146-D146</f>
        <v>18.577374045801527</v>
      </c>
      <c r="C146" s="38">
        <f>A146*C141/C134</f>
        <v>0.65648854961832048</v>
      </c>
      <c r="D146" s="38">
        <f>A146*D141-C146*C133</f>
        <v>0.76613740458015267</v>
      </c>
      <c r="E146" s="38">
        <f>(A146*E141-B146*B136-C146*C136-D146*D136)/E135</f>
        <v>4.2270084732824426E-2</v>
      </c>
      <c r="F146" s="38">
        <v>0</v>
      </c>
      <c r="I146" s="37"/>
      <c r="J146" s="39"/>
      <c r="K146" s="37"/>
      <c r="L146" s="37"/>
    </row>
    <row r="147" spans="1:14" ht="14.85" customHeight="1">
      <c r="A147" s="37"/>
      <c r="B147" s="37"/>
      <c r="C147" s="37"/>
      <c r="D147" s="37"/>
      <c r="E147" s="37"/>
      <c r="F147" s="37"/>
      <c r="I147" s="37"/>
      <c r="J147" s="39"/>
      <c r="K147" s="37"/>
      <c r="L147" s="37"/>
    </row>
    <row r="148" spans="1:14" ht="14.85" customHeight="1">
      <c r="A148" s="22">
        <f>A145*J148</f>
        <v>880</v>
      </c>
      <c r="B148" s="22">
        <f>B145*J148</f>
        <v>817.35719778682517</v>
      </c>
      <c r="C148" s="22">
        <f>C145*J148</f>
        <v>28.885496183206101</v>
      </c>
      <c r="D148" s="22">
        <f>D145*J148</f>
        <v>33.757306029968674</v>
      </c>
      <c r="E148" s="40">
        <f>E145*J148</f>
        <v>1.5477430913202146</v>
      </c>
      <c r="F148" s="40">
        <f>F145*J148</f>
        <v>27.46417648456779</v>
      </c>
      <c r="G148" s="40">
        <f>G145*J148</f>
        <v>15.111111111111112</v>
      </c>
      <c r="I148" s="12" t="s">
        <v>94</v>
      </c>
      <c r="J148" s="93">
        <v>22</v>
      </c>
      <c r="K148" s="15"/>
      <c r="L148" s="39"/>
    </row>
    <row r="149" spans="1:14" ht="14.85" customHeight="1">
      <c r="L149" s="39"/>
    </row>
    <row r="152" spans="1:14" ht="14.85" customHeight="1" thickBot="1"/>
    <row r="153" spans="1:14" ht="14.85" customHeight="1" thickBot="1">
      <c r="A153" s="247" t="str">
        <f>astm</f>
        <v>Sp. QST4-A-BL543 Revision 00.</v>
      </c>
      <c r="B153" s="247"/>
      <c r="C153" s="247"/>
      <c r="D153" s="247"/>
      <c r="E153" s="247"/>
      <c r="G153" s="91" t="s">
        <v>101</v>
      </c>
      <c r="H153" s="169" t="s">
        <v>123</v>
      </c>
      <c r="I153" s="2"/>
      <c r="J153" s="3" t="s">
        <v>75</v>
      </c>
      <c r="K153" s="4">
        <v>5</v>
      </c>
    </row>
    <row r="154" spans="1:14" ht="14.85" customHeight="1">
      <c r="A154" s="5"/>
      <c r="B154" s="5" t="s">
        <v>1</v>
      </c>
      <c r="C154" s="5" t="s">
        <v>2</v>
      </c>
      <c r="D154" s="5" t="s">
        <v>107</v>
      </c>
      <c r="E154" s="5" t="s">
        <v>3</v>
      </c>
      <c r="F154" s="5" t="s">
        <v>108</v>
      </c>
      <c r="G154" s="41" t="s">
        <v>4</v>
      </c>
      <c r="H154" s="41" t="s">
        <v>5</v>
      </c>
      <c r="I154" s="5" t="s">
        <v>6</v>
      </c>
      <c r="J154" s="5" t="s">
        <v>7</v>
      </c>
      <c r="K154" s="5" t="s">
        <v>8</v>
      </c>
      <c r="L154" s="168" t="s">
        <v>104</v>
      </c>
      <c r="M154" s="166"/>
    </row>
    <row r="155" spans="1:14" ht="14.85" customHeight="1">
      <c r="A155" s="5"/>
      <c r="B155" s="90">
        <v>8.0000000000000004E-4</v>
      </c>
      <c r="C155" s="90">
        <v>2.5000000000000001E-3</v>
      </c>
      <c r="D155" s="90">
        <v>2.9000000000000001E-2</v>
      </c>
      <c r="E155" s="90">
        <v>3.2000000000000001E-2</v>
      </c>
      <c r="F155" s="90" t="s">
        <v>120</v>
      </c>
      <c r="G155" s="90" t="s">
        <v>121</v>
      </c>
      <c r="H155" s="90">
        <v>4.3999999999999997E-2</v>
      </c>
      <c r="I155" s="90">
        <v>4.8000000000000001E-2</v>
      </c>
      <c r="J155" s="90">
        <v>1.9E-2</v>
      </c>
      <c r="K155" s="90">
        <v>2.3E-2</v>
      </c>
      <c r="L155" s="90">
        <v>1.4999999999999999E-2</v>
      </c>
      <c r="M155" s="90">
        <v>1.7999999999999999E-2</v>
      </c>
    </row>
    <row r="156" spans="1:14" ht="14.85" customHeight="1">
      <c r="A156" s="217" t="s">
        <v>119</v>
      </c>
      <c r="B156" s="245">
        <v>1.1999999999999999E-3</v>
      </c>
      <c r="C156" s="246"/>
      <c r="D156" s="245">
        <v>3.1E-2</v>
      </c>
      <c r="E156" s="246"/>
      <c r="F156" s="218">
        <v>5.0000000000000002E-5</v>
      </c>
      <c r="G156" s="216" t="s">
        <v>122</v>
      </c>
      <c r="H156" s="245">
        <v>4.4999999999999998E-2</v>
      </c>
      <c r="I156" s="246"/>
      <c r="J156" s="245">
        <v>2.1000000000000001E-2</v>
      </c>
      <c r="K156" s="246"/>
      <c r="L156" s="245">
        <v>1.6E-2</v>
      </c>
      <c r="M156" s="246"/>
      <c r="N156" s="30"/>
    </row>
    <row r="157" spans="1:14" ht="14.4">
      <c r="A157" s="8" t="s">
        <v>116</v>
      </c>
      <c r="B157" s="90"/>
      <c r="C157" s="215">
        <v>9.7999999999999997E-4</v>
      </c>
      <c r="D157" s="230">
        <v>3.1E-2</v>
      </c>
      <c r="E157" s="230"/>
      <c r="F157" s="7"/>
      <c r="G157" s="7"/>
      <c r="H157" s="215" t="s">
        <v>14</v>
      </c>
      <c r="I157" s="215">
        <v>4.9500000000000002E-2</v>
      </c>
      <c r="J157" s="215" t="s">
        <v>13</v>
      </c>
      <c r="K157" s="215">
        <v>2.1499999999999998E-2</v>
      </c>
      <c r="L157" s="215" t="s">
        <v>104</v>
      </c>
      <c r="M157" s="215">
        <v>1.7000000000000001E-2</v>
      </c>
    </row>
    <row r="158" spans="1:14" ht="14.85" customHeight="1">
      <c r="A158" s="10"/>
      <c r="B158" s="10"/>
      <c r="C158" s="10"/>
      <c r="D158" s="10"/>
      <c r="E158" s="11"/>
      <c r="F158" s="11"/>
      <c r="G158" s="12"/>
      <c r="H158" s="13"/>
      <c r="I158" s="14"/>
      <c r="K158" s="15"/>
    </row>
    <row r="159" spans="1:14" ht="14.85" customHeight="1">
      <c r="A159" s="238" t="s">
        <v>76</v>
      </c>
      <c r="B159" s="238"/>
      <c r="C159" s="163" t="s">
        <v>127</v>
      </c>
      <c r="D159" s="22">
        <f>DateIntrare!J19</f>
        <v>7750</v>
      </c>
      <c r="E159" s="16">
        <v>0.99739999999999995</v>
      </c>
      <c r="F159" s="17"/>
      <c r="H159" s="24"/>
      <c r="I159" s="244" t="s">
        <v>78</v>
      </c>
      <c r="J159" s="244"/>
      <c r="K159" s="244"/>
      <c r="L159" s="244"/>
    </row>
    <row r="160" spans="1:14" ht="14.85" customHeight="1">
      <c r="A160" s="238" t="s">
        <v>77</v>
      </c>
      <c r="B160" s="238"/>
      <c r="C160" s="163">
        <v>347445</v>
      </c>
      <c r="D160" s="22">
        <f>J126</f>
        <v>1307.4582313778801</v>
      </c>
      <c r="E160" s="18"/>
      <c r="F160" s="15"/>
      <c r="I160" s="19" t="s">
        <v>63</v>
      </c>
      <c r="J160" s="20" t="s">
        <v>80</v>
      </c>
      <c r="K160" s="19" t="s">
        <v>14</v>
      </c>
      <c r="L160" s="21" t="s">
        <v>27</v>
      </c>
      <c r="M160" s="73" t="s">
        <v>104</v>
      </c>
      <c r="N160" s="73" t="s">
        <v>11</v>
      </c>
    </row>
    <row r="161" spans="1:14" ht="14.85" customHeight="1">
      <c r="A161" s="238" t="s">
        <v>79</v>
      </c>
      <c r="B161" s="238"/>
      <c r="C161" s="163" t="s">
        <v>128</v>
      </c>
      <c r="D161" s="22">
        <f>K126</f>
        <v>1255.9992296929449</v>
      </c>
      <c r="E161" s="18">
        <v>0.99860000000000004</v>
      </c>
      <c r="F161" s="15"/>
      <c r="H161" s="92" t="s">
        <v>140</v>
      </c>
      <c r="I161" s="22">
        <f>D159+I126</f>
        <v>8480.3425389291733</v>
      </c>
      <c r="J161" s="22">
        <f>D160+K140</f>
        <v>1307.4582313778801</v>
      </c>
      <c r="K161" s="22">
        <f>D161</f>
        <v>1255.9992296929449</v>
      </c>
      <c r="L161" s="22">
        <f>D163</f>
        <v>963.44797688666176</v>
      </c>
      <c r="M161" s="22">
        <f>D164</f>
        <v>92.444444444444429</v>
      </c>
      <c r="N161" s="22">
        <f>D162</f>
        <v>482.82089666731588</v>
      </c>
    </row>
    <row r="162" spans="1:14" ht="14.85" customHeight="1">
      <c r="A162" s="238" t="s">
        <v>81</v>
      </c>
      <c r="B162" s="238"/>
      <c r="C162" s="163">
        <v>4430521</v>
      </c>
      <c r="D162" s="22">
        <f>N126</f>
        <v>482.82089666731588</v>
      </c>
      <c r="E162" s="18"/>
      <c r="F162" s="15"/>
      <c r="H162" s="92" t="s">
        <v>141</v>
      </c>
      <c r="I162" s="22">
        <f>I161-B185</f>
        <v>7662.9853411423483</v>
      </c>
      <c r="J162" s="22">
        <f>J161-C185</f>
        <v>1278.5727351946739</v>
      </c>
      <c r="K162" s="22">
        <f>K161-D185</f>
        <v>1222.2419236629762</v>
      </c>
      <c r="L162" s="22">
        <f>L161-E185</f>
        <v>961.77763021567353</v>
      </c>
      <c r="M162" s="22">
        <f>M161-G185</f>
        <v>77.333333333333314</v>
      </c>
      <c r="N162" s="22">
        <f>N161-F185</f>
        <v>455.46404991579078</v>
      </c>
    </row>
    <row r="163" spans="1:14" ht="14.85" customHeight="1">
      <c r="A163" s="239" t="s">
        <v>82</v>
      </c>
      <c r="B163" s="239"/>
      <c r="C163" s="163" t="s">
        <v>144</v>
      </c>
      <c r="D163" s="22">
        <f>L126</f>
        <v>963.44797688666176</v>
      </c>
      <c r="E163" s="18"/>
      <c r="F163" s="15"/>
      <c r="I163" s="22">
        <f>I162-B185</f>
        <v>6845.6281433555232</v>
      </c>
      <c r="J163" s="22">
        <f>J162-C185</f>
        <v>1249.6872390114677</v>
      </c>
      <c r="K163" s="22">
        <f>K162-D185</f>
        <v>1188.4846176330075</v>
      </c>
      <c r="L163" s="22">
        <f>L162-E185</f>
        <v>960.10728354468529</v>
      </c>
      <c r="M163" s="22">
        <f>M162-G185</f>
        <v>62.2222222222222</v>
      </c>
      <c r="N163" s="22">
        <f>N162-F185</f>
        <v>428.10720316426568</v>
      </c>
    </row>
    <row r="164" spans="1:14" ht="14.85" customHeight="1">
      <c r="A164" s="240" t="s">
        <v>103</v>
      </c>
      <c r="B164" s="241"/>
      <c r="C164" s="163" t="s">
        <v>142</v>
      </c>
      <c r="D164" s="212">
        <f>M126</f>
        <v>92.444444444444429</v>
      </c>
      <c r="E164" s="18">
        <v>0.99980000000000002</v>
      </c>
      <c r="F164" s="15"/>
    </row>
    <row r="165" spans="1:14" ht="14.85" customHeight="1">
      <c r="A165" s="242"/>
      <c r="B165" s="243"/>
      <c r="C165" s="153"/>
      <c r="D165" s="22"/>
      <c r="E165" s="18"/>
      <c r="F165" s="15"/>
    </row>
    <row r="166" spans="1:14" ht="14.85" customHeight="1">
      <c r="A166" s="157"/>
      <c r="B166" s="157"/>
      <c r="C166" s="158"/>
      <c r="D166" s="10"/>
      <c r="E166" s="37"/>
      <c r="F166" s="15"/>
    </row>
    <row r="167" spans="1:14" ht="14.85" customHeight="1">
      <c r="B167" s="15"/>
      <c r="C167" s="23"/>
      <c r="E167" s="15"/>
      <c r="F167" s="15"/>
    </row>
    <row r="168" spans="1:14" ht="14.85" customHeight="1">
      <c r="A168" s="19" t="s">
        <v>83</v>
      </c>
      <c r="B168" s="6" t="s">
        <v>76</v>
      </c>
      <c r="C168" s="6" t="s">
        <v>84</v>
      </c>
      <c r="D168" s="6" t="s">
        <v>25</v>
      </c>
      <c r="E168" s="6" t="s">
        <v>27</v>
      </c>
      <c r="F168" s="6" t="s">
        <v>26</v>
      </c>
      <c r="G168" s="6" t="s">
        <v>105</v>
      </c>
      <c r="M168" s="24"/>
    </row>
    <row r="169" spans="1:14" ht="14.85" customHeight="1">
      <c r="A169" s="25" t="s">
        <v>85</v>
      </c>
      <c r="B169" s="9">
        <f>E159</f>
        <v>0.99739999999999995</v>
      </c>
      <c r="C169" s="9"/>
      <c r="D169" s="26"/>
      <c r="E169" s="18">
        <f>1-E172</f>
        <v>0.6</v>
      </c>
      <c r="F169" s="7"/>
      <c r="G169" s="73"/>
    </row>
    <row r="170" spans="1:14" ht="14.85" customHeight="1">
      <c r="A170" s="25" t="s">
        <v>86</v>
      </c>
      <c r="B170" s="27"/>
      <c r="C170" s="27">
        <f>IF(C160=lotalv1,alalv1,IF(C160=lotalv2,alalv2,"ERR LOT"))</f>
        <v>0.34100000000000003</v>
      </c>
      <c r="D170" s="28">
        <f>E161</f>
        <v>0.99860000000000004</v>
      </c>
      <c r="E170" s="18"/>
      <c r="F170" s="7"/>
      <c r="G170" s="73"/>
    </row>
    <row r="171" spans="1:14" ht="14.85" customHeight="1">
      <c r="A171" s="25" t="s">
        <v>87</v>
      </c>
      <c r="B171" s="27"/>
      <c r="C171" s="27">
        <f>IF(C160=lotalv1,valv1,IF(C160=lotalv2,valv2,"ERR LOT"))</f>
        <v>0.65500000000000003</v>
      </c>
      <c r="D171" s="28"/>
      <c r="E171" s="18"/>
      <c r="F171" s="7"/>
      <c r="G171" s="73"/>
    </row>
    <row r="172" spans="1:14" ht="14.85" customHeight="1">
      <c r="A172" s="25" t="s">
        <v>88</v>
      </c>
      <c r="B172" s="27">
        <f>IF(C159=lotti1,oxti1,IF(C159=lotti2,oxti2,IF(C159=lotti3,oxti3,IF(C159=lotti4,oxti4,IF(C159=lotti5,oxti5,IF(C159=lotti6,oxti6,IF(C159=lotti7,oxti7,IF(C159=lotti8,oxti8,"ERR LOT"))))))))</f>
        <v>2.2000000000000001E-4</v>
      </c>
      <c r="C172" s="27">
        <f>IF(C160=lotalv1,oxalv1,IF(C160=lotalv2,oxalv2,"ERR LOT"))</f>
        <v>5.0000000000000001E-4</v>
      </c>
      <c r="D172" s="28">
        <f>IF(C161=lotal1,oxal1,IF(C161=lotal2,oxal2,"ERR LOT"))</f>
        <v>0</v>
      </c>
      <c r="E172" s="18">
        <f>IF(C163=lottio2,oxtio2,"err LOT")</f>
        <v>0.4</v>
      </c>
      <c r="F172" s="7"/>
      <c r="G172" s="73"/>
    </row>
    <row r="173" spans="1:14" ht="14.85" customHeight="1">
      <c r="A173" s="29" t="s">
        <v>89</v>
      </c>
      <c r="B173" s="162">
        <f>IF(C159=lotti1,feti1,IF(C159=lotti2,feti2,IF(C159=lotti3,feti3,IF(C159=lotti4,feti4,IF(C159=lotti5,feti5,IF(C159=lotti6,feti6,IF(C159=lotti7,feti7,IF(C159=lotti8,feti8,"ERR LOT"))))))))</f>
        <v>1.7000000000000001E-4</v>
      </c>
      <c r="C173" s="27">
        <f>IF(C160=lotalv1,fealv1,IF(C160=lotalv2,fealv2,"ERR LOT"))</f>
        <v>2E-3</v>
      </c>
      <c r="D173" s="28">
        <f>IF(C161=lotal1,feal1,IF(C161=lotal2,feal2,"ERR LOT"))</f>
        <v>8.3000000000000001E-4</v>
      </c>
      <c r="E173" s="18"/>
      <c r="F173" s="7">
        <v>0.99</v>
      </c>
      <c r="G173" s="73"/>
    </row>
    <row r="174" spans="1:14" ht="14.85" customHeight="1">
      <c r="A174" s="161" t="s">
        <v>106</v>
      </c>
      <c r="B174" s="7"/>
      <c r="C174" s="7"/>
      <c r="D174" s="7"/>
      <c r="E174" s="7"/>
      <c r="F174" s="7"/>
      <c r="G174" s="7">
        <v>0.99</v>
      </c>
    </row>
    <row r="175" spans="1:14" ht="14.85" customHeight="1">
      <c r="A175" s="32"/>
      <c r="B175" s="33"/>
      <c r="C175" s="33"/>
      <c r="D175" s="33"/>
      <c r="E175" s="37"/>
      <c r="F175" s="33"/>
    </row>
    <row r="176" spans="1:14" ht="14.85" customHeight="1">
      <c r="A176" s="32"/>
      <c r="B176" s="33"/>
      <c r="C176" s="33"/>
      <c r="D176" s="33"/>
      <c r="E176" s="33"/>
      <c r="F176" s="33"/>
    </row>
    <row r="177" spans="1:14" ht="14.85" customHeight="1">
      <c r="A177" s="236" t="s">
        <v>90</v>
      </c>
      <c r="B177" s="34" t="s">
        <v>63</v>
      </c>
      <c r="C177" s="34" t="s">
        <v>13</v>
      </c>
      <c r="D177" s="34" t="s">
        <v>14</v>
      </c>
      <c r="E177" s="34" t="s">
        <v>10</v>
      </c>
      <c r="F177" s="159" t="s">
        <v>11</v>
      </c>
      <c r="G177" s="73" t="s">
        <v>104</v>
      </c>
    </row>
    <row r="178" spans="1:14" ht="14.85" customHeight="1">
      <c r="A178" s="236"/>
      <c r="B178" s="35" t="s">
        <v>91</v>
      </c>
      <c r="C178" s="36">
        <f>K157</f>
        <v>2.1499999999999998E-2</v>
      </c>
      <c r="D178" s="36">
        <f>I157</f>
        <v>4.9500000000000002E-2</v>
      </c>
      <c r="E178" s="36">
        <f>C157</f>
        <v>9.7999999999999997E-4</v>
      </c>
      <c r="F178" s="160">
        <f>D157</f>
        <v>3.1E-2</v>
      </c>
      <c r="G178" s="160">
        <f>M157</f>
        <v>1.7000000000000001E-2</v>
      </c>
    </row>
    <row r="179" spans="1:14" ht="14.85" customHeight="1">
      <c r="H179" s="24"/>
      <c r="I179" s="24"/>
      <c r="J179" s="24"/>
      <c r="K179" s="24"/>
      <c r="L179" s="24"/>
      <c r="M179" s="24"/>
      <c r="N179" s="24"/>
    </row>
    <row r="180" spans="1:14" ht="14.85" customHeight="1">
      <c r="A180" s="237" t="s">
        <v>92</v>
      </c>
      <c r="B180" s="237"/>
      <c r="C180" s="237"/>
      <c r="D180" s="237"/>
      <c r="E180" s="237"/>
      <c r="F180" s="237"/>
      <c r="G180" s="237"/>
    </row>
    <row r="181" spans="1:14" ht="14.85" customHeight="1">
      <c r="A181" s="6" t="s">
        <v>93</v>
      </c>
      <c r="B181" s="6" t="s">
        <v>76</v>
      </c>
      <c r="C181" s="6" t="s">
        <v>84</v>
      </c>
      <c r="D181" s="6" t="s">
        <v>25</v>
      </c>
      <c r="E181" s="6" t="s">
        <v>27</v>
      </c>
      <c r="F181" s="6" t="s">
        <v>26</v>
      </c>
      <c r="G181" s="6" t="s">
        <v>105</v>
      </c>
    </row>
    <row r="182" spans="1:14" ht="41.4" customHeight="1">
      <c r="A182" s="122">
        <v>40</v>
      </c>
      <c r="B182" s="156">
        <f>A182-C182-D182</f>
        <v>37.152599899401146</v>
      </c>
      <c r="C182" s="122">
        <f>A182*C178/C171</f>
        <v>1.312977099236641</v>
      </c>
      <c r="D182" s="122">
        <f>(A182*D178-C182*C170)/D170</f>
        <v>1.5344230013622124</v>
      </c>
      <c r="E182" s="122">
        <f>(A182*E178-B182*B172-C182*C172-D182*D172)/E172</f>
        <v>7.592484868128356E-2</v>
      </c>
      <c r="F182" s="122">
        <f>(A182*F178-B182*B173-C182*C173)/F173</f>
        <v>1.2434930341602308</v>
      </c>
      <c r="G182" s="122">
        <f>A182*G178/G174</f>
        <v>0.68686868686868696</v>
      </c>
    </row>
    <row r="183" spans="1:14" ht="14.85" hidden="1" customHeight="1">
      <c r="A183" s="38">
        <v>20</v>
      </c>
      <c r="B183" s="38">
        <f>A183-C183-D183</f>
        <v>18.577374045801527</v>
      </c>
      <c r="C183" s="38">
        <f>A183*C178/C171</f>
        <v>0.65648854961832048</v>
      </c>
      <c r="D183" s="38">
        <f>A183*D178-C183*C170</f>
        <v>0.76613740458015267</v>
      </c>
      <c r="E183" s="38">
        <f>(A183*E178-B183*B173-C183*C173-D183*D173)/E172</f>
        <v>3.6232438167938925E-2</v>
      </c>
      <c r="F183" s="38">
        <v>0</v>
      </c>
      <c r="I183" s="37"/>
      <c r="J183" s="39"/>
      <c r="K183" s="37"/>
      <c r="L183" s="37"/>
    </row>
    <row r="184" spans="1:14" ht="14.85" customHeight="1">
      <c r="A184" s="37"/>
      <c r="B184" s="37"/>
      <c r="C184" s="37"/>
      <c r="D184" s="37"/>
      <c r="E184" s="37"/>
      <c r="F184" s="37"/>
      <c r="I184" s="37"/>
      <c r="J184" s="39"/>
      <c r="K184" s="37"/>
      <c r="L184" s="37"/>
    </row>
    <row r="185" spans="1:14" ht="14.85" customHeight="1">
      <c r="A185" s="22">
        <f>A182*J185</f>
        <v>880</v>
      </c>
      <c r="B185" s="22">
        <f>B182*J185</f>
        <v>817.35719778682517</v>
      </c>
      <c r="C185" s="22">
        <f>C182*J185</f>
        <v>28.885496183206101</v>
      </c>
      <c r="D185" s="22">
        <f>D182*J185</f>
        <v>33.757306029968674</v>
      </c>
      <c r="E185" s="40">
        <f>E182*J185</f>
        <v>1.6703466709882384</v>
      </c>
      <c r="F185" s="40">
        <f>F182*J185</f>
        <v>27.356846751525079</v>
      </c>
      <c r="G185" s="40">
        <f>G182*J185</f>
        <v>15.111111111111112</v>
      </c>
      <c r="I185" s="12" t="s">
        <v>94</v>
      </c>
      <c r="J185" s="93">
        <v>22</v>
      </c>
      <c r="K185" s="15"/>
      <c r="L185" s="39"/>
    </row>
  </sheetData>
  <sheetProtection selectLockedCells="1" selectUnlockedCells="1"/>
  <mergeCells count="84">
    <mergeCell ref="A180:G180"/>
    <mergeCell ref="A163:B163"/>
    <mergeCell ref="A164:B164"/>
    <mergeCell ref="A165:B165"/>
    <mergeCell ref="I159:L159"/>
    <mergeCell ref="A177:A178"/>
    <mergeCell ref="L156:M156"/>
    <mergeCell ref="A159:B159"/>
    <mergeCell ref="A160:B160"/>
    <mergeCell ref="A161:B161"/>
    <mergeCell ref="A162:B162"/>
    <mergeCell ref="D157:E157"/>
    <mergeCell ref="A153:E153"/>
    <mergeCell ref="B156:C156"/>
    <mergeCell ref="D156:E156"/>
    <mergeCell ref="H156:I156"/>
    <mergeCell ref="J156:K156"/>
    <mergeCell ref="H7:I7"/>
    <mergeCell ref="J7:K7"/>
    <mergeCell ref="L7:M7"/>
    <mergeCell ref="A28:A29"/>
    <mergeCell ref="A31:G31"/>
    <mergeCell ref="I10:L10"/>
    <mergeCell ref="A12:B12"/>
    <mergeCell ref="A15:B15"/>
    <mergeCell ref="A16:B16"/>
    <mergeCell ref="A13:B13"/>
    <mergeCell ref="A14:B14"/>
    <mergeCell ref="A4:E4"/>
    <mergeCell ref="A10:B10"/>
    <mergeCell ref="A11:B11"/>
    <mergeCell ref="B7:C7"/>
    <mergeCell ref="D7:E7"/>
    <mergeCell ref="D8:E8"/>
    <mergeCell ref="A41:E41"/>
    <mergeCell ref="B44:C44"/>
    <mergeCell ref="D44:E44"/>
    <mergeCell ref="H44:I44"/>
    <mergeCell ref="J44:K44"/>
    <mergeCell ref="L44:M44"/>
    <mergeCell ref="A47:B47"/>
    <mergeCell ref="A48:B48"/>
    <mergeCell ref="A49:B49"/>
    <mergeCell ref="A50:B50"/>
    <mergeCell ref="D45:E45"/>
    <mergeCell ref="A51:B51"/>
    <mergeCell ref="A52:B52"/>
    <mergeCell ref="A53:B53"/>
    <mergeCell ref="I47:L47"/>
    <mergeCell ref="A65:A66"/>
    <mergeCell ref="L81:M81"/>
    <mergeCell ref="J81:K81"/>
    <mergeCell ref="H81:I81"/>
    <mergeCell ref="D81:E81"/>
    <mergeCell ref="B81:C81"/>
    <mergeCell ref="A68:G68"/>
    <mergeCell ref="A105:G105"/>
    <mergeCell ref="A102:A103"/>
    <mergeCell ref="A90:B90"/>
    <mergeCell ref="A89:B89"/>
    <mergeCell ref="A88:B88"/>
    <mergeCell ref="A87:B87"/>
    <mergeCell ref="A86:B86"/>
    <mergeCell ref="A85:B85"/>
    <mergeCell ref="A84:B84"/>
    <mergeCell ref="A124:B124"/>
    <mergeCell ref="D120:E120"/>
    <mergeCell ref="A78:E78"/>
    <mergeCell ref="A116:E116"/>
    <mergeCell ref="B119:C119"/>
    <mergeCell ref="D119:E119"/>
    <mergeCell ref="D82:E82"/>
    <mergeCell ref="I122:L122"/>
    <mergeCell ref="J119:K119"/>
    <mergeCell ref="L119:M119"/>
    <mergeCell ref="A122:B122"/>
    <mergeCell ref="A123:B123"/>
    <mergeCell ref="H119:I119"/>
    <mergeCell ref="A140:A141"/>
    <mergeCell ref="A143:G143"/>
    <mergeCell ref="A125:B125"/>
    <mergeCell ref="A126:B126"/>
    <mergeCell ref="A127:B127"/>
    <mergeCell ref="A128:B128"/>
  </mergeCells>
  <phoneticPr fontId="19" type="noConversion"/>
  <pageMargins left="1" right="1" top="1" bottom="1" header="0.5" footer="0.5"/>
  <pageSetup paperSize="9" scale="71" firstPageNumber="0" orientation="landscape" r:id="rId1"/>
  <headerFooter alignWithMargins="0">
    <oddHeader>&amp;L&amp;G&amp;C&amp;"Times New Roman,Regular"&amp;11&amp;F&amp;R&amp;"Times New Roman,Regular"&amp;12Data: 12.06.2026</oddHeader>
    <oddFooter>&amp;L&amp;"Times New Roman,Regular"&amp;12Sectie  Lingouri,
Chiru Dan&amp;CIntocmit,
Racasanu Georgeta&amp;R&amp;"Times New Roman,Regular"&amp;12                                        pg. &amp;P
Formular Cod:PGQ036.F8.00</oddFooter>
  </headerFooter>
  <rowBreaks count="4" manualBreakCount="4">
    <brk id="38" max="14" man="1"/>
    <brk id="74" max="14" man="1"/>
    <brk id="112" max="14" man="1"/>
    <brk id="150" max="14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54</vt:i4>
      </vt:variant>
    </vt:vector>
  </HeadingPairs>
  <TitlesOfParts>
    <vt:vector size="57" baseType="lpstr">
      <vt:lpstr>DateIntrare</vt:lpstr>
      <vt:lpstr>Bilant</vt:lpstr>
      <vt:lpstr>RetDozare</vt:lpstr>
      <vt:lpstr>alalv1</vt:lpstr>
      <vt:lpstr>alalv2</vt:lpstr>
      <vt:lpstr>alalv3</vt:lpstr>
      <vt:lpstr>astm</vt:lpstr>
      <vt:lpstr>comanda</vt:lpstr>
      <vt:lpstr>concal2</vt:lpstr>
      <vt:lpstr>concfe1</vt:lpstr>
      <vt:lpstr>feal1</vt:lpstr>
      <vt:lpstr>feal2</vt:lpstr>
      <vt:lpstr>fealv1</vt:lpstr>
      <vt:lpstr>fealv2</vt:lpstr>
      <vt:lpstr>fealv3</vt:lpstr>
      <vt:lpstr>feti1</vt:lpstr>
      <vt:lpstr>feti2</vt:lpstr>
      <vt:lpstr>feti3</vt:lpstr>
      <vt:lpstr>feti4</vt:lpstr>
      <vt:lpstr>feti5</vt:lpstr>
      <vt:lpstr>feti7</vt:lpstr>
      <vt:lpstr>feti8</vt:lpstr>
      <vt:lpstr>feti9</vt:lpstr>
      <vt:lpstr>lotal1</vt:lpstr>
      <vt:lpstr>lotal2</vt:lpstr>
      <vt:lpstr>lotalv1</vt:lpstr>
      <vt:lpstr>lotalv2</vt:lpstr>
      <vt:lpstr>lotalv3</vt:lpstr>
      <vt:lpstr>lotfe1</vt:lpstr>
      <vt:lpstr>lotti1</vt:lpstr>
      <vt:lpstr>lotti2</vt:lpstr>
      <vt:lpstr>lotti3</vt:lpstr>
      <vt:lpstr>lotti4</vt:lpstr>
      <vt:lpstr>lotti5</vt:lpstr>
      <vt:lpstr>lotti7</vt:lpstr>
      <vt:lpstr>lotti8</vt:lpstr>
      <vt:lpstr>lotti9</vt:lpstr>
      <vt:lpstr>lottio2</vt:lpstr>
      <vt:lpstr>nrpresbara</vt:lpstr>
      <vt:lpstr>oxal1</vt:lpstr>
      <vt:lpstr>oxal2</vt:lpstr>
      <vt:lpstr>oxalv1</vt:lpstr>
      <vt:lpstr>oxalv2</vt:lpstr>
      <vt:lpstr>oxalv3</vt:lpstr>
      <vt:lpstr>oxti1</vt:lpstr>
      <vt:lpstr>oxti2</vt:lpstr>
      <vt:lpstr>oxti3</vt:lpstr>
      <vt:lpstr>oxti4</vt:lpstr>
      <vt:lpstr>oxti5</vt:lpstr>
      <vt:lpstr>oxti7</vt:lpstr>
      <vt:lpstr>oxti8</vt:lpstr>
      <vt:lpstr>oxti9</vt:lpstr>
      <vt:lpstr>oxtio2</vt:lpstr>
      <vt:lpstr>RetDozare!Print_Area</vt:lpstr>
      <vt:lpstr>valv1</vt:lpstr>
      <vt:lpstr>valv2</vt:lpstr>
      <vt:lpstr>valv3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Racasanu Georgeta</dc:creator>
  <cp:lastModifiedBy>Georgeta Racasanu</cp:lastModifiedBy>
  <cp:lastPrinted>2026-06-12T10:26:04Z</cp:lastPrinted>
  <dcterms:created xsi:type="dcterms:W3CDTF">2016-07-14T06:25:58Z</dcterms:created>
  <dcterms:modified xsi:type="dcterms:W3CDTF">2026-07-13T06:46:47Z</dcterms:modified>
</cp:coreProperties>
</file>